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uan\Documents\Daily Enquiries\2026\April\"/>
    </mc:Choice>
  </mc:AlternateContent>
  <xr:revisionPtr revIDLastSave="0" documentId="13_ncr:1_{2FA402CA-D855-4F24-B434-8239288DE4B6}" xr6:coauthVersionLast="47" xr6:coauthVersionMax="47" xr10:uidLastSave="{00000000-0000-0000-0000-000000000000}"/>
  <bookViews>
    <workbookView xWindow="-108" yWindow="-108" windowWidth="23256" windowHeight="12456" firstSheet="8" activeTab="15" xr2:uid="{00000000-000D-0000-FFFF-FFFF00000000}"/>
  </bookViews>
  <sheets>
    <sheet name="📊 Dashboard" sheetId="1" r:id="rId1"/>
    <sheet name="01042026" sheetId="2" r:id="rId2"/>
    <sheet name="02042026" sheetId="3" r:id="rId3"/>
    <sheet name="07042026" sheetId="6" r:id="rId4"/>
    <sheet name="08042026" sheetId="7" r:id="rId5"/>
    <sheet name="09042026" sheetId="8" r:id="rId6"/>
    <sheet name="13042026" sheetId="10" r:id="rId7"/>
    <sheet name="10042026" sheetId="9" r:id="rId8"/>
    <sheet name="14042026" sheetId="11" r:id="rId9"/>
    <sheet name="15042026" sheetId="12" r:id="rId10"/>
    <sheet name="16042026" sheetId="13" r:id="rId11"/>
    <sheet name="17042026" sheetId="14" r:id="rId12"/>
    <sheet name="20042026" sheetId="15" r:id="rId13"/>
    <sheet name="21042026" sheetId="16" r:id="rId14"/>
    <sheet name="22042026" sheetId="17" r:id="rId15"/>
    <sheet name="23042026" sheetId="18" r:id="rId16"/>
    <sheet name="24042026" sheetId="19" r:id="rId17"/>
    <sheet name="27042026" sheetId="20" r:id="rId18"/>
    <sheet name="28042026" sheetId="21" r:id="rId19"/>
    <sheet name="29042026" sheetId="22" r:id="rId20"/>
    <sheet name="30042026" sheetId="23" r:id="rId21"/>
    <sheet name="ℹ️ How To Use" sheetId="24" r:id="rId22"/>
  </sheets>
  <definedNames>
    <definedName name="_xlnm._FilterDatabase" localSheetId="1" hidden="1">'01042026'!$A$5:$N$48</definedName>
    <definedName name="_xlnm._FilterDatabase" localSheetId="2" hidden="1">'02042026'!$A$5:$N$5</definedName>
    <definedName name="_xlnm._FilterDatabase" localSheetId="3" hidden="1">'07042026'!$A$5:$N$5</definedName>
    <definedName name="_xlnm._FilterDatabase" localSheetId="4" hidden="1">'08042026'!$A$5:$N$5</definedName>
    <definedName name="_xlnm._FilterDatabase" localSheetId="5" hidden="1">'09042026'!$A$5:$N$5</definedName>
    <definedName name="_xlnm._FilterDatabase" localSheetId="7" hidden="1">'10042026'!$A$5:$N$5</definedName>
    <definedName name="_xlnm._FilterDatabase" localSheetId="6" hidden="1">'13042026'!$A$5:$N$5</definedName>
    <definedName name="_xlnm._FilterDatabase" localSheetId="8" hidden="1">'14042026'!$A$5:$N$5</definedName>
    <definedName name="_xlnm._FilterDatabase" localSheetId="9" hidden="1">'15042026'!$A$5:$N$5</definedName>
    <definedName name="_xlnm._FilterDatabase" localSheetId="10" hidden="1">'16042026'!$A$5:$N$5</definedName>
    <definedName name="_xlnm._FilterDatabase" localSheetId="11" hidden="1">'17042026'!$A$5:$N$5</definedName>
    <definedName name="_xlnm._FilterDatabase" localSheetId="12" hidden="1">'20042026'!$A$5:$N$5</definedName>
    <definedName name="_xlnm._FilterDatabase" localSheetId="13" hidden="1">'21042026'!$A$5:$N$5</definedName>
    <definedName name="_xlnm._FilterDatabase" localSheetId="14" hidden="1">'22042026'!$A$5:$N$5</definedName>
    <definedName name="_xlnm._FilterDatabase" localSheetId="15" hidden="1">'23042026'!$A$5:$N$5</definedName>
    <definedName name="_xlnm._FilterDatabase" localSheetId="16" hidden="1">'24042026'!$A$5:$N$5</definedName>
    <definedName name="_xlnm._FilterDatabase" localSheetId="17" hidden="1">'27042026'!$A$5:$N$5</definedName>
    <definedName name="_xlnm._FilterDatabase" localSheetId="18" hidden="1">'28042026'!$A$5:$N$5</definedName>
    <definedName name="_xlnm._FilterDatabase" localSheetId="19" hidden="1">'29042026'!$A$5:$N$5</definedName>
    <definedName name="_xlnm._FilterDatabase" localSheetId="20" hidden="1">'30042026'!$A$5:$N$5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H30" i="1" s="1"/>
  <c r="G8" i="1"/>
  <c r="F8" i="1"/>
  <c r="F30" i="1" s="1"/>
  <c r="E8" i="1"/>
  <c r="D8" i="1"/>
  <c r="J5" i="1"/>
  <c r="H5" i="1"/>
  <c r="F5" i="1"/>
  <c r="D5" i="1"/>
  <c r="B5" i="1"/>
  <c r="K30" i="1" l="1"/>
  <c r="D30" i="1"/>
  <c r="J30" i="1"/>
  <c r="G30" i="1"/>
  <c r="I30" i="1"/>
  <c r="E30" i="1"/>
</calcChain>
</file>

<file path=xl/sharedStrings.xml><?xml version="1.0" encoding="utf-8"?>
<sst xmlns="http://schemas.openxmlformats.org/spreadsheetml/2006/main" count="904" uniqueCount="257">
  <si>
    <t xml:space="preserve">          EXECAIR  |  Monthly Enquiry Dashboard  |  April 2026</t>
  </si>
  <si>
    <t xml:space="preserve">  Live dashboard — updates automatically as daily tabs are filled in</t>
  </si>
  <si>
    <t>TOTAL ENQUIRIES</t>
  </si>
  <si>
    <t>WARM LEADS</t>
  </si>
  <si>
    <t>CONFIRMED</t>
  </si>
  <si>
    <t>ON HOLD</t>
  </si>
  <si>
    <t>NO ANSWER</t>
  </si>
  <si>
    <t>Date</t>
  </si>
  <si>
    <t>Day</t>
  </si>
  <si>
    <t>Total</t>
  </si>
  <si>
    <t>Warm Leads</t>
  </si>
  <si>
    <t>Confirmed</t>
  </si>
  <si>
    <t>On Hold</t>
  </si>
  <si>
    <t>No Answer</t>
  </si>
  <si>
    <t>New Enq</t>
  </si>
  <si>
    <t>High Pri</t>
  </si>
  <si>
    <t>Quote (R)</t>
  </si>
  <si>
    <t>Wednesday</t>
  </si>
  <si>
    <t>Thursday</t>
  </si>
  <si>
    <t>Friday</t>
  </si>
  <si>
    <t>Monday</t>
  </si>
  <si>
    <t>Tuesday</t>
  </si>
  <si>
    <t>MONTHLY TOTALS</t>
  </si>
  <si>
    <t>EXECAIR (Pty) Ltd  |  Monthly Enquiry Dashboard  |  Confidential</t>
  </si>
  <si>
    <t xml:space="preserve">          EXECAIR  |  Daily Enquiries &amp; Follow-Up Tracker  |  April 2026</t>
  </si>
  <si>
    <t xml:space="preserve">  📅  Wednesday, 01 April 2026   |   Use column filters ▼ to sort by status, area or type</t>
  </si>
  <si>
    <t>Tab: 01042026</t>
  </si>
  <si>
    <t>🟢 Confirmed</t>
  </si>
  <si>
    <t>🟡 Warm Lead</t>
  </si>
  <si>
    <t>🔴 On Hold</t>
  </si>
  <si>
    <t>⚫ No Answer</t>
  </si>
  <si>
    <t>🔵 New Enquiry</t>
  </si>
  <si>
    <t>#</t>
  </si>
  <si>
    <t>Customer Name</t>
  </si>
  <si>
    <t>Area</t>
  </si>
  <si>
    <t>Type of Work</t>
  </si>
  <si>
    <t>How Found Us</t>
  </si>
  <si>
    <t>Enquiry Type</t>
  </si>
  <si>
    <t>Last Contact Date</t>
  </si>
  <si>
    <t>Next Follow-Up</t>
  </si>
  <si>
    <t>Days</t>
  </si>
  <si>
    <t>Contact Status</t>
  </si>
  <si>
    <t>Priority</t>
  </si>
  <si>
    <t>Quote Sent?</t>
  </si>
  <si>
    <t>Notes / Action Required</t>
  </si>
  <si>
    <t>EXECAIR (Pty) Ltd  |  Daily Enquiries &amp; Follow-Up Tracker  |  April 2026  |  Confidential</t>
  </si>
  <si>
    <t xml:space="preserve">  📅  Thursday, 02 April 2026   |   Use column filters ▼ to sort by status, area or type</t>
  </si>
  <si>
    <t>Tab: 02042026</t>
  </si>
  <si>
    <t xml:space="preserve">  📅  Tuesday, 07 April 2026   |   Use column filters ▼ to sort by status, area or type</t>
  </si>
  <si>
    <t>Tab: 07042026</t>
  </si>
  <si>
    <t xml:space="preserve">  📅  Wednesday, 08 April 2026   |   Use column filters ▼ to sort by status, area or type</t>
  </si>
  <si>
    <t>Tab: 08042026</t>
  </si>
  <si>
    <t xml:space="preserve">  📅  Thursday, 09 April 2026   |   Use column filters ▼ to sort by status, area or type</t>
  </si>
  <si>
    <t>Tab: 09042026</t>
  </si>
  <si>
    <t xml:space="preserve">  📅  Friday, 10 April 2026   |   Use column filters ▼ to sort by status, area or type</t>
  </si>
  <si>
    <t>Tab: 10042026</t>
  </si>
  <si>
    <t xml:space="preserve">  📅  Monday, 13 April 2026   |   Use column filters ▼ to sort by status, area or type</t>
  </si>
  <si>
    <t>Tab: 13042026</t>
  </si>
  <si>
    <t xml:space="preserve">  📅  Tuesday, 14 April 2026   |   Use column filters ▼ to sort by status, area or type</t>
  </si>
  <si>
    <t>Tab: 14042026</t>
  </si>
  <si>
    <t xml:space="preserve">  📅  Wednesday, 15 April 2026   |   Use column filters ▼ to sort by status, area or type</t>
  </si>
  <si>
    <t>Tab: 15042026</t>
  </si>
  <si>
    <t xml:space="preserve">  📅  Thursday, 16 April 2026   |   Use column filters ▼ to sort by status, area or type</t>
  </si>
  <si>
    <t>Tab: 16042026</t>
  </si>
  <si>
    <t xml:space="preserve">  📅  Friday, 17 April 2026   |   Use column filters ▼ to sort by status, area or type</t>
  </si>
  <si>
    <t>Tab: 17042026</t>
  </si>
  <si>
    <t xml:space="preserve">  📅  Monday, 20 April 2026   |   Use column filters ▼ to sort by status, area or type</t>
  </si>
  <si>
    <t>Tab: 20042026</t>
  </si>
  <si>
    <t xml:space="preserve">  📅  Tuesday, 21 April 2026   |   Use column filters ▼ to sort by status, area or type</t>
  </si>
  <si>
    <t>Tab: 21042026</t>
  </si>
  <si>
    <t xml:space="preserve">  📅  Wednesday, 22 April 2026   |   Use column filters ▼ to sort by status, area or type</t>
  </si>
  <si>
    <t>Tab: 22042026</t>
  </si>
  <si>
    <t xml:space="preserve">  📅  Thursday, 23 April 2026   |   Use column filters ▼ to sort by status, area or type</t>
  </si>
  <si>
    <t>Tab: 23042026</t>
  </si>
  <si>
    <t xml:space="preserve">  📅  Friday, 24 April 2026   |   Use column filters ▼ to sort by status, area or type</t>
  </si>
  <si>
    <t>Tab: 24042026</t>
  </si>
  <si>
    <t xml:space="preserve">  📅  Monday, 27 April 2026   |   Use column filters ▼ to sort by status, area or type</t>
  </si>
  <si>
    <t>Tab: 27042026</t>
  </si>
  <si>
    <t xml:space="preserve">  📅  Tuesday, 28 April 2026   |   Use column filters ▼ to sort by status, area or type</t>
  </si>
  <si>
    <t>Tab: 28042026</t>
  </si>
  <si>
    <t xml:space="preserve">  📅  Wednesday, 29 April 2026   |   Use column filters ▼ to sort by status, area or type</t>
  </si>
  <si>
    <t>Tab: 29042026</t>
  </si>
  <si>
    <t xml:space="preserve">  📅  Thursday, 30 April 2026   |   Use column filters ▼ to sort by status, area or type</t>
  </si>
  <si>
    <t>Tab: 30042026</t>
  </si>
  <si>
    <t xml:space="preserve">          EXECAIR  |  How To Use This Tracker</t>
  </si>
  <si>
    <t>COLUMN</t>
  </si>
  <si>
    <t>DESCRIPTION / HOW TO USE</t>
  </si>
  <si>
    <t>Row number – auto filled</t>
  </si>
  <si>
    <t>Company or individual contact name</t>
  </si>
  <si>
    <t>Suburb / area of the client</t>
  </si>
  <si>
    <t>Free text – describe the job scope</t>
  </si>
  <si>
    <t>Referral, Google, Existing Client, Long Existing Client, etc.</t>
  </si>
  <si>
    <t>New or Follow Up</t>
  </si>
  <si>
    <t>Update every time you call or email</t>
  </si>
  <si>
    <t>Enter the date for your next call/visit</t>
  </si>
  <si>
    <t>Days Until Follow-Up</t>
  </si>
  <si>
    <t>AUTO-CALCULATED – red=overdue, amber=within 7 days, green=OK</t>
  </si>
  <si>
    <t>Dropdown: Warm Lead / Confirmed / On Hold / No Answer / New Enquiry / Lost</t>
  </si>
  <si>
    <t>Dropdown: High / Medium / Low</t>
  </si>
  <si>
    <t>Quote Value (R)</t>
  </si>
  <si>
    <t>Enter the rand value of the quote sent</t>
  </si>
  <si>
    <t>Dropdown: Yes / No / Pending</t>
  </si>
  <si>
    <t>Full notes, next steps, client comments</t>
  </si>
  <si>
    <t>💡 TIP</t>
  </si>
  <si>
    <t>Use the filter arrows in row 5 to sort by Status, Priority or Area</t>
  </si>
  <si>
    <t>The Dashboard tab updates automatically as you fill each daily tab</t>
  </si>
  <si>
    <t>There are 22 working day tabs for April 2026 (Mon–Fri, weekends excluded)</t>
  </si>
  <si>
    <t>Highlight a row green manually once a job is CONFIRMED and booked</t>
  </si>
  <si>
    <t>The Monthly Totals row on the Dashboard sums every working day</t>
  </si>
  <si>
    <t>Start each morning on today's tab – add new enquiries as they come in</t>
  </si>
  <si>
    <t>Annemarie Boshoff</t>
  </si>
  <si>
    <t>Noordheuwel</t>
  </si>
  <si>
    <t>Servicing Due</t>
  </si>
  <si>
    <t>Warm Lead</t>
  </si>
  <si>
    <t>High</t>
  </si>
  <si>
    <t>Yes</t>
  </si>
  <si>
    <t>Tanya Collins</t>
  </si>
  <si>
    <t>Morningside , Sandton</t>
  </si>
  <si>
    <t>Old Client</t>
  </si>
  <si>
    <t>Medium</t>
  </si>
  <si>
    <t>Low</t>
  </si>
  <si>
    <t>Not going ahead , Follow Up in 3 months</t>
  </si>
  <si>
    <t>Busiswe Mazibuko</t>
  </si>
  <si>
    <t>Honeydew</t>
  </si>
  <si>
    <t>Unihigh (Pty) Ltd</t>
  </si>
  <si>
    <t>Kenmare</t>
  </si>
  <si>
    <t>Awaiting Feedback from client , they will check quote</t>
  </si>
  <si>
    <t>Marca Da Cerca</t>
  </si>
  <si>
    <t>Ruimsig</t>
  </si>
  <si>
    <t>Client is away says he will be back in a month</t>
  </si>
  <si>
    <t>Marlene Swanepoel</t>
  </si>
  <si>
    <t>Rand en Dal</t>
  </si>
  <si>
    <t>Monument Dental</t>
  </si>
  <si>
    <t>Monument</t>
  </si>
  <si>
    <t>Service Due/Repairs</t>
  </si>
  <si>
    <t>Mechano Electric</t>
  </si>
  <si>
    <t>Rustenburg</t>
  </si>
  <si>
    <t xml:space="preserve">Maintain AC </t>
  </si>
  <si>
    <t>We have sent a quote for service on his existing 30000 Btu with 2 isolators</t>
  </si>
  <si>
    <t>Simone Forshaw</t>
  </si>
  <si>
    <t>Sandton</t>
  </si>
  <si>
    <t>Awaiting Next Service Due Date , not interested now</t>
  </si>
  <si>
    <t>Rona Hogins</t>
  </si>
  <si>
    <t>Featherbrook Estate</t>
  </si>
  <si>
    <t>Servicing</t>
  </si>
  <si>
    <t>I have sent a whatsapp and follow up emails</t>
  </si>
  <si>
    <t>Gillian Steyn</t>
  </si>
  <si>
    <t>Randburg</t>
  </si>
  <si>
    <t>Wiehan Botes</t>
  </si>
  <si>
    <t>Krugersdorp</t>
  </si>
  <si>
    <t>Jayesh Ghella</t>
  </si>
  <si>
    <t>Randpark Ridge</t>
  </si>
  <si>
    <t>Not interested at this time</t>
  </si>
  <si>
    <t>NMSA Roshin Maharaj</t>
  </si>
  <si>
    <t>PMB , KZN</t>
  </si>
  <si>
    <t>Quote</t>
  </si>
  <si>
    <t>New Client</t>
  </si>
  <si>
    <t>New Enquiry</t>
  </si>
  <si>
    <t>Saw our units on Display , want to enquire about purchase or rental</t>
  </si>
  <si>
    <t>Said it is too early for service , follow up 1</t>
  </si>
  <si>
    <t>–</t>
  </si>
  <si>
    <t>Ailsa Holtzhausen</t>
  </si>
  <si>
    <t>Featherbrook</t>
  </si>
  <si>
    <t>Phone Call</t>
  </si>
  <si>
    <t>Awaiting POP from client for booking for 10/04/2026</t>
  </si>
  <si>
    <t>Magotteaux (Pty) Ltd</t>
  </si>
  <si>
    <t>Gemiston</t>
  </si>
  <si>
    <t>NMSA Roshin</t>
  </si>
  <si>
    <t>New Client Evap Portable</t>
  </si>
  <si>
    <t>Sent specs on Portable Evaps and Updated quote on supply and Rental</t>
  </si>
  <si>
    <t>Xolani</t>
  </si>
  <si>
    <t>Walk in/Call in</t>
  </si>
  <si>
    <t>Phone Call/Walk In</t>
  </si>
  <si>
    <t>Called in and then stopped at our gate as they wanted to come in and purchase piping and cable , we told them we do not keep on premises and that we need to quote them 1st we then sent them a quote</t>
  </si>
  <si>
    <t>Client wanted us to increase quantity and decrease price , they are comparing with another company , I sent them a email of service Desprition to give them more confidence in choosing us.</t>
  </si>
  <si>
    <t>Annemarie Boshoff-Bouwer</t>
  </si>
  <si>
    <t>Client did service recently with repair January , asked to call again in June for next service</t>
  </si>
  <si>
    <t>We have received POP to start work 10/04/2026</t>
  </si>
  <si>
    <t>We have received POP to start work today</t>
  </si>
  <si>
    <t>Awaiting POP client wants to secure booking for next week.</t>
  </si>
  <si>
    <t>I have sent email for follow up</t>
  </si>
  <si>
    <t>Call @ 11:00 Client moved premises , bought new AC's somewhere else as our pricing was too high , still want us to maintain the AC's on new premises , Call to follow up 10/04/2026</t>
  </si>
  <si>
    <t>Conre Viljoen</t>
  </si>
  <si>
    <t>Hoogland &amp; Fairland</t>
  </si>
  <si>
    <t xml:space="preserve">Awaiting clients response </t>
  </si>
  <si>
    <t>Cor Avion (Pty) Ltd</t>
  </si>
  <si>
    <t>Pretoria</t>
  </si>
  <si>
    <t>Old Client Service Due</t>
  </si>
  <si>
    <t>Follow Up Service</t>
  </si>
  <si>
    <t>Contacted client a few times , once I sent it on Whatsapp they called in and asked to update the quote to 3 units and they will do the services early next month.</t>
  </si>
  <si>
    <t>Mechano Electrical</t>
  </si>
  <si>
    <t>Service</t>
  </si>
  <si>
    <t>Deon Visser</t>
  </si>
  <si>
    <t>Service Due</t>
  </si>
  <si>
    <t>Vuyo Maepe</t>
  </si>
  <si>
    <t>Centurion</t>
  </si>
  <si>
    <t>Install or Service</t>
  </si>
  <si>
    <t>Follow Up</t>
  </si>
  <si>
    <t>No</t>
  </si>
  <si>
    <t>Client says she is awaiting funds for 2 more installs</t>
  </si>
  <si>
    <t>Macmillan South Africa</t>
  </si>
  <si>
    <t>Melrose Arch</t>
  </si>
  <si>
    <t>Need to follow up on 1 May 2026</t>
  </si>
  <si>
    <t>Mashudu Madzanga</t>
  </si>
  <si>
    <t>Witpoortjie</t>
  </si>
  <si>
    <t>Service or Install</t>
  </si>
  <si>
    <t>Awaiting client to give info on unit</t>
  </si>
  <si>
    <t>Moreje Construction</t>
  </si>
  <si>
    <t>Re-Install</t>
  </si>
  <si>
    <t>AC Online</t>
  </si>
  <si>
    <t>Quote has been sent awaiting clients feedback</t>
  </si>
  <si>
    <t>Adendorff Makelaars</t>
  </si>
  <si>
    <t>Follow Up Next Month 14 May 2026</t>
  </si>
  <si>
    <t>Malibu Lodge</t>
  </si>
  <si>
    <t>Pretoria Menlyn</t>
  </si>
  <si>
    <t>Awaiting Information from client regarding what they want to install</t>
  </si>
  <si>
    <t>Client has send in quote as this is a tender we need to wait for feedback</t>
  </si>
  <si>
    <t>Marrais Basson - Yvonne</t>
  </si>
  <si>
    <t>Witbank</t>
  </si>
  <si>
    <t>Repair or Service</t>
  </si>
  <si>
    <t>Multi Fine Products</t>
  </si>
  <si>
    <t>Stromhill</t>
  </si>
  <si>
    <t>Service or Repairs</t>
  </si>
  <si>
    <t>Follow up 1st June</t>
  </si>
  <si>
    <t>Mphedzi Mushiana</t>
  </si>
  <si>
    <t>Follow up</t>
  </si>
  <si>
    <t>Need to follow up with client end May</t>
  </si>
  <si>
    <t>My Place Self Storage</t>
  </si>
  <si>
    <t>Randfontein</t>
  </si>
  <si>
    <t>Awaiting client feedback</t>
  </si>
  <si>
    <t xml:space="preserve">They do not need anything at the moment, they will contact us. </t>
  </si>
  <si>
    <t>The Local Pharmacy</t>
  </si>
  <si>
    <t>Fairlands</t>
  </si>
  <si>
    <t>Service and Leak Test</t>
  </si>
  <si>
    <t>Bianca Breedt</t>
  </si>
  <si>
    <t>Removal and NEW Install</t>
  </si>
  <si>
    <t>JVW</t>
  </si>
  <si>
    <t>Awaiting approval from Boss</t>
  </si>
  <si>
    <t>Awaiting Approval</t>
  </si>
  <si>
    <t>Herve &amp; Amanda</t>
  </si>
  <si>
    <t>Bryanston</t>
  </si>
  <si>
    <t>New Install</t>
  </si>
  <si>
    <t>Follow up on older files</t>
  </si>
  <si>
    <t>Midwest Properties</t>
  </si>
  <si>
    <t>Chamdor</t>
  </si>
  <si>
    <t>Old client</t>
  </si>
  <si>
    <t>Follow Up in File</t>
  </si>
  <si>
    <t>Awaiting clients Approval from Directors</t>
  </si>
  <si>
    <t>Peter Michalczyk</t>
  </si>
  <si>
    <t>Helderfontein Residential Estate</t>
  </si>
  <si>
    <t>Awaiting clients Approval</t>
  </si>
  <si>
    <t>Peet Botha/Sula Sula Exports</t>
  </si>
  <si>
    <t>Fault Finding</t>
  </si>
  <si>
    <t>Client Called In</t>
  </si>
  <si>
    <t>Awaiting Clients Approval</t>
  </si>
  <si>
    <t>Mirco SA</t>
  </si>
  <si>
    <t>Trying to get ahold of someone to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</si>
</sst>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R\ #,##0"/>
    <numFmt numFmtId="166" formatCode="\R\ #,##0.00"/>
    <numFmt numFmtId="167" formatCode="0&quot; days&quot;"/>
  </numFmts>
  <fonts count="3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FFFFFF"/>
      <name val="Arial"/>
    </font>
    <font>
      <b/>
      <sz val="8"/>
      <color rgb="FFFFFFFF"/>
      <name val="Arial"/>
    </font>
    <font>
      <b/>
      <sz val="26"/>
      <color rgb="FFFFFFFF"/>
      <name val="Arial"/>
    </font>
    <font>
      <b/>
      <sz val="8"/>
      <color rgb="FF8A6200"/>
      <name val="Arial"/>
    </font>
    <font>
      <b/>
      <sz val="26"/>
      <color rgb="FF7F5A00"/>
      <name val="Arial"/>
    </font>
    <font>
      <b/>
      <sz val="8"/>
      <color rgb="FF2D6A2D"/>
      <name val="Arial"/>
    </font>
    <font>
      <b/>
      <sz val="26"/>
      <color rgb="FF2D6A2D"/>
      <name val="Arial"/>
    </font>
    <font>
      <b/>
      <sz val="8"/>
      <color rgb="FF921E44"/>
      <name val="Arial"/>
    </font>
    <font>
      <b/>
      <sz val="26"/>
      <color rgb="FF921E44"/>
      <name val="Arial"/>
    </font>
    <font>
      <b/>
      <sz val="8"/>
      <color rgb="FF555555"/>
      <name val="Arial"/>
    </font>
    <font>
      <b/>
      <sz val="26"/>
      <color rgb="FF555555"/>
      <name val="Arial"/>
    </font>
    <font>
      <b/>
      <sz val="9"/>
      <color rgb="FFFFFFFF"/>
      <name val="Arial"/>
    </font>
    <font>
      <b/>
      <sz val="9"/>
      <color rgb="FF28286E"/>
      <name val="Arial"/>
    </font>
    <font>
      <sz val="9"/>
      <color rgb="FF555555"/>
      <name val="Arial"/>
    </font>
    <font>
      <sz val="9"/>
      <color rgb="FF000000"/>
      <name val="Arial"/>
    </font>
    <font>
      <sz val="9"/>
      <color rgb="FF7F5A00"/>
      <name val="Arial"/>
    </font>
    <font>
      <sz val="9"/>
      <color rgb="FF2D6A2D"/>
      <name val="Arial"/>
    </font>
    <font>
      <sz val="9"/>
      <color rgb="FF921E44"/>
      <name val="Arial"/>
    </font>
    <font>
      <sz val="9"/>
      <color rgb="FF3B3F97"/>
      <name val="Arial"/>
    </font>
    <font>
      <sz val="9"/>
      <color rgb="FFCC0000"/>
      <name val="Arial"/>
    </font>
    <font>
      <sz val="9"/>
      <color rgb="FF111111"/>
      <name val="Arial"/>
    </font>
    <font>
      <i/>
      <sz val="8"/>
      <color rgb="FF888888"/>
      <name val="Arial"/>
    </font>
    <font>
      <b/>
      <sz val="13"/>
      <color rgb="FFFFFFFF"/>
      <name val="Arial"/>
    </font>
    <font>
      <b/>
      <sz val="9"/>
      <color rgb="FF2D6A2D"/>
      <name val="Arial"/>
    </font>
    <font>
      <b/>
      <sz val="9"/>
      <color rgb="FF7F5A00"/>
      <name val="Arial"/>
    </font>
    <font>
      <b/>
      <sz val="9"/>
      <color rgb="FF921E44"/>
      <name val="Arial"/>
    </font>
    <font>
      <b/>
      <sz val="9"/>
      <color rgb="FF555555"/>
      <name val="Arial"/>
    </font>
    <font>
      <b/>
      <sz val="9"/>
      <color rgb="FF3B3F97"/>
      <name val="Arial"/>
    </font>
    <font>
      <sz val="9"/>
      <color rgb="FF888888"/>
      <name val="Arial"/>
    </font>
    <font>
      <b/>
      <sz val="10"/>
      <color rgb="FFFFFFFF"/>
      <name val="Arial"/>
    </font>
    <font>
      <b/>
      <sz val="9"/>
      <color rgb="FF111111"/>
      <name val="Arial"/>
    </font>
    <font>
      <sz val="9"/>
      <color rgb="FF1A1A4A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1A4A"/>
      </patternFill>
    </fill>
    <fill>
      <patternFill patternType="solid">
        <fgColor rgb="FF3B3F97"/>
      </patternFill>
    </fill>
    <fill>
      <patternFill patternType="solid">
        <fgColor rgb="FFF0F0F4"/>
      </patternFill>
    </fill>
    <fill>
      <patternFill patternType="solid">
        <fgColor rgb="FF28286E"/>
      </patternFill>
    </fill>
    <fill>
      <patternFill patternType="solid">
        <fgColor rgb="FFFFF2CC"/>
      </patternFill>
    </fill>
    <fill>
      <patternFill patternType="solid">
        <fgColor rgb="FFE8F5E8"/>
      </patternFill>
    </fill>
    <fill>
      <patternFill patternType="solid">
        <fgColor rgb="FFFCE8EE"/>
      </patternFill>
    </fill>
    <fill>
      <patternFill patternType="solid">
        <fgColor rgb="FFF0F0F0"/>
      </patternFill>
    </fill>
    <fill>
      <patternFill patternType="solid">
        <fgColor rgb="FF921E44"/>
      </patternFill>
    </fill>
    <fill>
      <patternFill patternType="solid">
        <fgColor rgb="FFFFFFFF"/>
      </patternFill>
    </fill>
    <fill>
      <patternFill patternType="solid">
        <fgColor rgb="FFF2F2F8"/>
      </patternFill>
    </fill>
    <fill>
      <patternFill patternType="solid">
        <fgColor rgb="FFE8E8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4A4A9A"/>
      </left>
      <right style="thin">
        <color rgb="FF4A4A9A"/>
      </right>
      <top style="thin">
        <color rgb="FF4A4A9A"/>
      </top>
      <bottom style="thin">
        <color rgb="FF4A4A9A"/>
      </bottom>
      <diagonal/>
    </border>
    <border>
      <left style="thin">
        <color rgb="FFD0D0E0"/>
      </left>
      <right style="thin">
        <color rgb="FFD0D0E0"/>
      </right>
      <top style="thin">
        <color rgb="FFD0D0E0"/>
      </top>
      <bottom style="thin">
        <color rgb="FFD0D0E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3" fillId="5" borderId="1" xfId="0" applyFont="1" applyFill="1" applyBorder="1" applyAlignment="1">
      <alignment horizontal="center" vertical="center" wrapText="1"/>
    </xf>
    <xf numFmtId="164" fontId="14" fillId="11" borderId="2" xfId="0" applyNumberFormat="1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165" fontId="22" fillId="11" borderId="2" xfId="0" applyNumberFormat="1" applyFont="1" applyFill="1" applyBorder="1" applyAlignment="1">
      <alignment horizontal="right" vertical="center"/>
    </xf>
    <xf numFmtId="164" fontId="14" fillId="12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165" fontId="22" fillId="12" borderId="2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165" fontId="13" fillId="2" borderId="1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vertical="center"/>
    </xf>
    <xf numFmtId="164" fontId="22" fillId="11" borderId="2" xfId="0" applyNumberFormat="1" applyFont="1" applyFill="1" applyBorder="1" applyAlignment="1">
      <alignment horizontal="center" vertical="center"/>
    </xf>
    <xf numFmtId="167" fontId="22" fillId="11" borderId="2" xfId="0" applyNumberFormat="1" applyFont="1" applyFill="1" applyBorder="1" applyAlignment="1">
      <alignment horizontal="center" vertical="center"/>
    </xf>
    <xf numFmtId="166" fontId="22" fillId="11" borderId="2" xfId="0" applyNumberFormat="1" applyFont="1" applyFill="1" applyBorder="1" applyAlignment="1">
      <alignment horizontal="right" vertical="center"/>
    </xf>
    <xf numFmtId="0" fontId="22" fillId="11" borderId="2" xfId="0" applyFont="1" applyFill="1" applyBorder="1" applyAlignment="1">
      <alignment vertical="center" wrapText="1"/>
    </xf>
    <xf numFmtId="0" fontId="30" fillId="12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vertical="center"/>
    </xf>
    <xf numFmtId="164" fontId="22" fillId="12" borderId="2" xfId="0" applyNumberFormat="1" applyFont="1" applyFill="1" applyBorder="1" applyAlignment="1">
      <alignment horizontal="center" vertical="center"/>
    </xf>
    <xf numFmtId="167" fontId="22" fillId="12" borderId="2" xfId="0" applyNumberFormat="1" applyFont="1" applyFill="1" applyBorder="1" applyAlignment="1">
      <alignment horizontal="center" vertical="center"/>
    </xf>
    <xf numFmtId="166" fontId="22" fillId="12" borderId="2" xfId="0" applyNumberFormat="1" applyFont="1" applyFill="1" applyBorder="1" applyAlignment="1">
      <alignment horizontal="right" vertical="center"/>
    </xf>
    <xf numFmtId="0" fontId="22" fillId="12" borderId="2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/>
    </xf>
    <xf numFmtId="0" fontId="32" fillId="11" borderId="2" xfId="0" applyFont="1" applyFill="1" applyBorder="1" applyAlignment="1">
      <alignment vertical="center" wrapText="1"/>
    </xf>
    <xf numFmtId="0" fontId="32" fillId="1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vertical="center" wrapText="1"/>
    </xf>
    <xf numFmtId="0" fontId="30" fillId="14" borderId="2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vertical="center"/>
    </xf>
    <xf numFmtId="164" fontId="22" fillId="14" borderId="2" xfId="0" applyNumberFormat="1" applyFont="1" applyFill="1" applyBorder="1" applyAlignment="1">
      <alignment horizontal="center" vertical="center"/>
    </xf>
    <xf numFmtId="167" fontId="22" fillId="14" borderId="2" xfId="0" applyNumberFormat="1" applyFont="1" applyFill="1" applyBorder="1" applyAlignment="1">
      <alignment horizontal="center" vertical="center"/>
    </xf>
    <xf numFmtId="166" fontId="22" fillId="14" borderId="2" xfId="0" applyNumberFormat="1" applyFont="1" applyFill="1" applyBorder="1" applyAlignment="1">
      <alignment horizontal="right" vertical="center"/>
    </xf>
    <xf numFmtId="0" fontId="22" fillId="14" borderId="2" xfId="0" applyFont="1" applyFill="1" applyBorder="1" applyAlignment="1">
      <alignment vertical="center" wrapText="1"/>
    </xf>
    <xf numFmtId="0" fontId="0" fillId="14" borderId="0" xfId="0" applyFill="1"/>
    <xf numFmtId="0" fontId="24" fillId="2" borderId="0" xfId="0" applyFont="1" applyFill="1" applyAlignment="1">
      <alignment horizontal="left" vertical="center"/>
    </xf>
    <xf numFmtId="0" fontId="0" fillId="0" borderId="0" xfId="0"/>
    <xf numFmtId="0" fontId="0" fillId="10" borderId="0" xfId="0" applyFill="1"/>
    <xf numFmtId="0" fontId="2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6" fillId="6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60"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  <dxf>
      <font>
        <color rgb="FFFFFFFF"/>
      </font>
      <fill>
        <patternFill>
          <bgColor rgb="FF5AAA5A"/>
        </patternFill>
      </fill>
    </dxf>
    <dxf>
      <font>
        <b/>
        <color rgb="FF000000"/>
      </font>
      <fill>
        <patternFill>
          <bgColor rgb="FFFFAA00"/>
        </patternFill>
      </fill>
    </dxf>
    <dxf>
      <font>
        <b/>
        <color rgb="FFFFFFFF"/>
      </font>
      <fill>
        <patternFill>
          <bgColor rgb="FFEE333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F10" sqref="F10"/>
    </sheetView>
  </sheetViews>
  <sheetFormatPr defaultRowHeight="14.4" x14ac:dyDescent="0.3"/>
  <cols>
    <col min="1" max="1" width="3" customWidth="1"/>
    <col min="2" max="2" width="16" customWidth="1"/>
    <col min="3" max="4" width="10" customWidth="1"/>
    <col min="5" max="6" width="12" customWidth="1"/>
    <col min="7" max="10" width="11" customWidth="1"/>
    <col min="11" max="11" width="14" customWidth="1"/>
    <col min="12" max="12" width="3" customWidth="1"/>
  </cols>
  <sheetData>
    <row r="1" spans="1:12" ht="49.95" customHeight="1" x14ac:dyDescent="0.3">
      <c r="A1" s="5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9.95" customHeight="1" x14ac:dyDescent="0.3">
      <c r="A2" s="50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7.95" customHeight="1" x14ac:dyDescent="0.3"/>
    <row r="4" spans="1:12" ht="18" customHeight="1" x14ac:dyDescent="0.3">
      <c r="B4" s="63" t="s">
        <v>2</v>
      </c>
      <c r="C4" s="47"/>
      <c r="D4" s="61" t="s">
        <v>3</v>
      </c>
      <c r="E4" s="47"/>
      <c r="F4" s="64" t="s">
        <v>4</v>
      </c>
      <c r="G4" s="47"/>
      <c r="H4" s="62" t="s">
        <v>5</v>
      </c>
      <c r="I4" s="47"/>
      <c r="J4" s="65" t="s">
        <v>6</v>
      </c>
      <c r="K4" s="47"/>
    </row>
    <row r="5" spans="1:12" ht="36" customHeight="1" x14ac:dyDescent="0.3">
      <c r="B5" s="67">
        <f>COUNTA('01042026'!B6:B47)+COUNTA('02042026'!B6:B47)+COUNTA(#REF!)+COUNTA(#REF!)+COUNTA('07042026'!B6:B47)+COUNTA('08042026'!B6:B47)+COUNTA('09042026'!B6:B47)+COUNTA('10042026'!B6:B47)+COUNTA('13042026'!B6:B47)+COUNTA('14042026'!B6:B47)+COUNTA('15042026'!B6:B47)+COUNTA('16042026'!B6:B47)+COUNTA('17042026'!B6:B47)+COUNTA('20042026'!B6:B47)+COUNTA('21042026'!B6:B47)+COUNTA('22042026'!B6:B47)+COUNTA('23042026'!B6:B47)+COUNTA('24042026'!B6:B47)+COUNTA('27042026'!B6:B47)+COUNTA('28042026'!B6:B47)+COUNTA('29042026'!B6:B47)+COUNTA('30042026'!B6:B47)</f>
        <v>47</v>
      </c>
      <c r="C5" s="47"/>
      <c r="D5" s="58" t="e">
        <f>COUNTIF('01042026'!J6:J47,"Warm Lead")+COUNTIF('02042026'!J6:J47,"Warm Lead")+COUNTIF(#REF!,"Warm Lead")+COUNTIF(#REF!,"Warm Lead")+COUNTIF('07042026'!J6:J47,"Warm Lead")+COUNTIF('08042026'!J6:J47,"Warm Lead")+COUNTIF('09042026'!J6:J47,"Warm Lead")+COUNTIF('10042026'!J6:J47,"Warm Lead")+COUNTIF('13042026'!J6:J47,"Warm Lead")+COUNTIF('14042026'!J6:J47,"Warm Lead")+COUNTIF('15042026'!J6:J47,"Warm Lead")+COUNTIF('16042026'!J6:J47,"Warm Lead")+COUNTIF('17042026'!J6:J47,"Warm Lead")+COUNTIF('20042026'!J6:J47,"Warm Lead")+COUNTIF('21042026'!J6:J47,"Warm Lead")+COUNTIF('22042026'!J6:J47,"Warm Lead")+COUNTIF('23042026'!J6:J47,"Warm Lead")+COUNTIF('24042026'!J6:J47,"Warm Lead")+COUNTIF('27042026'!J6:J47,"Warm Lead")+COUNTIF('28042026'!J6:J47,"Warm Lead")+COUNTIF('29042026'!J6:J47,"Warm Lead")+COUNTIF('30042026'!J6:J47,"Warm Lead")</f>
        <v>#REF!</v>
      </c>
      <c r="E5" s="47"/>
      <c r="F5" s="59" t="e">
        <f>COUNTIF('01042026'!J6:J47,"Confirmed")+COUNTIF('02042026'!J6:J47,"Confirmed")+COUNTIF(#REF!,"Confirmed")+COUNTIF(#REF!,"Confirmed")+COUNTIF('07042026'!J6:J47,"Confirmed")+COUNTIF('08042026'!J6:J47,"Confirmed")+COUNTIF('09042026'!J6:J47,"Confirmed")+COUNTIF('10042026'!J6:J47,"Confirmed")+COUNTIF('13042026'!J6:J47,"Confirmed")+COUNTIF('14042026'!J6:J47,"Confirmed")+COUNTIF('15042026'!J6:J47,"Confirmed")+COUNTIF('16042026'!J6:J47,"Confirmed")+COUNTIF('17042026'!J6:J47,"Confirmed")+COUNTIF('20042026'!J6:J47,"Confirmed")+COUNTIF('21042026'!J6:J47,"Confirmed")+COUNTIF('22042026'!J6:J47,"Confirmed")+COUNTIF('23042026'!J6:J47,"Confirmed")+COUNTIF('24042026'!J6:J47,"Confirmed")+COUNTIF('27042026'!J6:J47,"Confirmed")+COUNTIF('28042026'!J6:J47,"Confirmed")+COUNTIF('29042026'!J6:J47,"Confirmed")+COUNTIF('30042026'!J6:J47,"Confirmed")</f>
        <v>#REF!</v>
      </c>
      <c r="G5" s="47"/>
      <c r="H5" s="60" t="e">
        <f>COUNTIF('01042026'!J6:J47,"On Hold")+COUNTIF('02042026'!J6:J47,"On Hold")+COUNTIF(#REF!,"On Hold")+COUNTIF(#REF!,"On Hold")+COUNTIF('07042026'!J6:J47,"On Hold")+COUNTIF('08042026'!J6:J47,"On Hold")+COUNTIF('09042026'!J6:J47,"On Hold")+COUNTIF('10042026'!J6:J47,"On Hold")+COUNTIF('13042026'!J6:J47,"On Hold")+COUNTIF('14042026'!J6:J47,"On Hold")+COUNTIF('15042026'!J6:J47,"On Hold")+COUNTIF('16042026'!J6:J47,"On Hold")+COUNTIF('17042026'!J6:J47,"On Hold")+COUNTIF('20042026'!J6:J47,"On Hold")+COUNTIF('21042026'!J6:J47,"On Hold")+COUNTIF('22042026'!J6:J47,"On Hold")+COUNTIF('23042026'!J6:J47,"On Hold")+COUNTIF('24042026'!J6:J47,"On Hold")+COUNTIF('27042026'!J6:J47,"On Hold")+COUNTIF('28042026'!J6:J47,"On Hold")+COUNTIF('29042026'!J6:J47,"On Hold")+COUNTIF('30042026'!J6:J47,"On Hold")</f>
        <v>#REF!</v>
      </c>
      <c r="I5" s="47"/>
      <c r="J5" s="66" t="e">
        <f>COUNTIF('01042026'!J6:J47,"No Answer")+COUNTIF('02042026'!J6:J47,"No Answer")+COUNTIF(#REF!,"No Answer")+COUNTIF(#REF!,"No Answer")+COUNTIF('07042026'!J6:J47,"No Answer")+COUNTIF('08042026'!J6:J47,"No Answer")+COUNTIF('09042026'!J6:J47,"No Answer")+COUNTIF('10042026'!J6:J47,"No Answer")+COUNTIF('13042026'!J6:J47,"No Answer")+COUNTIF('14042026'!J6:J47,"No Answer")+COUNTIF('15042026'!J6:J47,"No Answer")+COUNTIF('16042026'!J6:J47,"No Answer")+COUNTIF('17042026'!J6:J47,"No Answer")+COUNTIF('20042026'!J6:J47,"No Answer")+COUNTIF('21042026'!J6:J47,"No Answer")+COUNTIF('22042026'!J6:J47,"No Answer")+COUNTIF('23042026'!J6:J47,"No Answer")+COUNTIF('24042026'!J6:J47,"No Answer")+COUNTIF('27042026'!J6:J47,"No Answer")+COUNTIF('28042026'!J6:J47,"No Answer")+COUNTIF('29042026'!J6:J47,"No Answer")+COUNTIF('30042026'!J6:J47,"No Answer")</f>
        <v>#REF!</v>
      </c>
      <c r="K5" s="47"/>
    </row>
    <row r="6" spans="1:12" ht="7.95" customHeight="1" x14ac:dyDescent="0.3">
      <c r="A6" s="48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1:12" ht="28.05" customHeight="1" x14ac:dyDescent="0.3"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spans="1:12" ht="19.95" customHeight="1" x14ac:dyDescent="0.3">
      <c r="B8" s="2">
        <v>46113</v>
      </c>
      <c r="C8" s="3" t="s">
        <v>17</v>
      </c>
      <c r="D8" s="4">
        <f>COUNTA('01042026'!B6:B47)</f>
        <v>6</v>
      </c>
      <c r="E8" s="5">
        <f>COUNTIF('01042026'!J6:J47,"Warm Lead")</f>
        <v>5</v>
      </c>
      <c r="F8" s="6">
        <f>COUNTIF('01042026'!J6:J47,"Confirmed")</f>
        <v>0</v>
      </c>
      <c r="G8" s="7">
        <f>COUNTIF('01042026'!J6:J47,"On Hold")</f>
        <v>1</v>
      </c>
      <c r="H8" s="3">
        <f>COUNTIF('01042026'!J6:J47,"No Answer")</f>
        <v>0</v>
      </c>
      <c r="I8" s="8">
        <f>COUNTIF('01042026'!J6:J47,"New Enquiry")</f>
        <v>0</v>
      </c>
      <c r="J8" s="9">
        <f>COUNTIF('01042026'!K6:K47,"High")</f>
        <v>4</v>
      </c>
      <c r="K8" s="10">
        <f>SUM('01042026'!L6:L47)</f>
        <v>0</v>
      </c>
    </row>
    <row r="9" spans="1:12" ht="19.95" customHeight="1" x14ac:dyDescent="0.3">
      <c r="B9" s="11">
        <v>46114</v>
      </c>
      <c r="C9" s="12" t="s">
        <v>18</v>
      </c>
      <c r="D9" s="13">
        <f>COUNTA('02042026'!B6:B47)</f>
        <v>3</v>
      </c>
      <c r="E9" s="14">
        <f>COUNTIF('02042026'!J6:J47,"Warm Lead")</f>
        <v>2</v>
      </c>
      <c r="F9" s="15">
        <f>COUNTIF('02042026'!J6:J47,"Confirmed")</f>
        <v>0</v>
      </c>
      <c r="G9" s="16">
        <f>COUNTIF('02042026'!J6:J47,"On Hold")</f>
        <v>1</v>
      </c>
      <c r="H9" s="12">
        <f>COUNTIF('02042026'!J6:J47,"No Answer")</f>
        <v>0</v>
      </c>
      <c r="I9" s="17">
        <f>COUNTIF('02042026'!J6:J47,"New Enquiry")</f>
        <v>0</v>
      </c>
      <c r="J9" s="18">
        <f>COUNTIF('02042026'!K6:K47,"High")</f>
        <v>2</v>
      </c>
      <c r="K9" s="19">
        <f>SUM('02042026'!L6:L47)</f>
        <v>0</v>
      </c>
    </row>
    <row r="10" spans="1:12" ht="19.95" customHeight="1" x14ac:dyDescent="0.3">
      <c r="B10" s="2">
        <v>46115</v>
      </c>
      <c r="C10" s="3" t="s">
        <v>19</v>
      </c>
      <c r="D10" s="4">
        <f>COUNTA(#REF!)</f>
        <v>1</v>
      </c>
      <c r="E10" s="5" t="e">
        <f>COUNTIF(#REF!,"Warm Lead")</f>
        <v>#REF!</v>
      </c>
      <c r="F10" s="6" t="e">
        <f>COUNTIF(#REF!,"Confirmed")</f>
        <v>#REF!</v>
      </c>
      <c r="G10" s="7" t="e">
        <f>COUNTIF(#REF!,"On Hold")</f>
        <v>#REF!</v>
      </c>
      <c r="H10" s="3" t="e">
        <f>COUNTIF(#REF!,"No Answer")</f>
        <v>#REF!</v>
      </c>
      <c r="I10" s="8" t="e">
        <f>COUNTIF(#REF!,"New Enquiry")</f>
        <v>#REF!</v>
      </c>
      <c r="J10" s="9" t="e">
        <f>COUNTIF(#REF!,"High")</f>
        <v>#REF!</v>
      </c>
      <c r="K10" s="10" t="e">
        <f>SUM(#REF!)</f>
        <v>#REF!</v>
      </c>
    </row>
    <row r="11" spans="1:12" ht="19.95" customHeight="1" x14ac:dyDescent="0.3">
      <c r="B11" s="11">
        <v>46118</v>
      </c>
      <c r="C11" s="12" t="s">
        <v>20</v>
      </c>
      <c r="D11" s="13">
        <f>COUNTA(#REF!)</f>
        <v>1</v>
      </c>
      <c r="E11" s="14" t="e">
        <f>COUNTIF(#REF!,"Warm Lead")</f>
        <v>#REF!</v>
      </c>
      <c r="F11" s="15" t="e">
        <f>COUNTIF(#REF!,"Confirmed")</f>
        <v>#REF!</v>
      </c>
      <c r="G11" s="16" t="e">
        <f>COUNTIF(#REF!,"On Hold")</f>
        <v>#REF!</v>
      </c>
      <c r="H11" s="12" t="e">
        <f>COUNTIF(#REF!,"No Answer")</f>
        <v>#REF!</v>
      </c>
      <c r="I11" s="17" t="e">
        <f>COUNTIF(#REF!,"New Enquiry")</f>
        <v>#REF!</v>
      </c>
      <c r="J11" s="18" t="e">
        <f>COUNTIF(#REF!,"High")</f>
        <v>#REF!</v>
      </c>
      <c r="K11" s="19" t="e">
        <f>SUM(#REF!)</f>
        <v>#REF!</v>
      </c>
    </row>
    <row r="12" spans="1:12" ht="19.95" customHeight="1" x14ac:dyDescent="0.3">
      <c r="B12" s="2">
        <v>46119</v>
      </c>
      <c r="C12" s="3" t="s">
        <v>21</v>
      </c>
      <c r="D12" s="4">
        <f>COUNTA('07042026'!B6:B47)</f>
        <v>5</v>
      </c>
      <c r="E12" s="5">
        <f>COUNTIF('07042026'!J6:J47,"Warm Lead")</f>
        <v>0</v>
      </c>
      <c r="F12" s="6">
        <f>COUNTIF('07042026'!J6:J47,"Confirmed")</f>
        <v>0</v>
      </c>
      <c r="G12" s="7">
        <f>COUNTIF('07042026'!J6:J47,"On Hold")</f>
        <v>0</v>
      </c>
      <c r="H12" s="3">
        <f>COUNTIF('07042026'!J6:J47,"No Answer")</f>
        <v>4</v>
      </c>
      <c r="I12" s="8">
        <f>COUNTIF('07042026'!J6:J47,"New Enquiry")</f>
        <v>1</v>
      </c>
      <c r="J12" s="9">
        <f>COUNTIF('07042026'!K6:K47,"High")</f>
        <v>5</v>
      </c>
      <c r="K12" s="10">
        <f>SUM('07042026'!L6:L47)</f>
        <v>0</v>
      </c>
    </row>
    <row r="13" spans="1:12" ht="19.95" customHeight="1" x14ac:dyDescent="0.3">
      <c r="B13" s="11">
        <v>46120</v>
      </c>
      <c r="C13" s="12" t="s">
        <v>17</v>
      </c>
      <c r="D13" s="13">
        <f>COUNTA('08042026'!B6:B47)</f>
        <v>7</v>
      </c>
      <c r="E13" s="14">
        <f>COUNTIF('08042026'!J6:J47,"Warm Lead")</f>
        <v>7</v>
      </c>
      <c r="F13" s="15">
        <f>COUNTIF('08042026'!J6:J47,"Confirmed")</f>
        <v>0</v>
      </c>
      <c r="G13" s="16">
        <f>COUNTIF('08042026'!J6:J47,"On Hold")</f>
        <v>0</v>
      </c>
      <c r="H13" s="12">
        <f>COUNTIF('08042026'!J6:J47,"No Answer")</f>
        <v>0</v>
      </c>
      <c r="I13" s="17">
        <f>COUNTIF('08042026'!J6:J47,"New Enquiry")</f>
        <v>0</v>
      </c>
      <c r="J13" s="18">
        <f>COUNTIF('08042026'!K6:K47,"High")</f>
        <v>7</v>
      </c>
      <c r="K13" s="19">
        <f>SUM('08042026'!L6:L47)</f>
        <v>0</v>
      </c>
    </row>
    <row r="14" spans="1:12" ht="19.95" customHeight="1" x14ac:dyDescent="0.3">
      <c r="B14" s="2">
        <v>46121</v>
      </c>
      <c r="C14" s="3" t="s">
        <v>18</v>
      </c>
      <c r="D14" s="4">
        <f>COUNTA('09042026'!B6:B47)</f>
        <v>5</v>
      </c>
      <c r="E14" s="5">
        <f>COUNTIF('09042026'!J6:J47,"Warm Lead")</f>
        <v>4</v>
      </c>
      <c r="F14" s="6">
        <f>COUNTIF('09042026'!J6:J47,"Confirmed")</f>
        <v>0</v>
      </c>
      <c r="G14" s="7">
        <f>COUNTIF('09042026'!J6:J47,"On Hold")</f>
        <v>0</v>
      </c>
      <c r="H14" s="3">
        <f>COUNTIF('09042026'!J6:J47,"No Answer")</f>
        <v>1</v>
      </c>
      <c r="I14" s="8">
        <f>COUNTIF('09042026'!J6:J47,"New Enquiry")</f>
        <v>0</v>
      </c>
      <c r="J14" s="9">
        <f>COUNTIF('09042026'!K6:K47,"High")</f>
        <v>5</v>
      </c>
      <c r="K14" s="10">
        <f>SUM('09042026'!L6:L47)</f>
        <v>0</v>
      </c>
    </row>
    <row r="15" spans="1:12" ht="19.95" customHeight="1" x14ac:dyDescent="0.3">
      <c r="B15" s="11">
        <v>46122</v>
      </c>
      <c r="C15" s="12" t="s">
        <v>19</v>
      </c>
      <c r="D15" s="13">
        <f>COUNTA('10042026'!B6:B47)</f>
        <v>2</v>
      </c>
      <c r="E15" s="14">
        <f>COUNTIF('10042026'!J6:J47,"Warm Lead")</f>
        <v>1</v>
      </c>
      <c r="F15" s="15">
        <f>COUNTIF('10042026'!J6:J47,"Confirmed")</f>
        <v>0</v>
      </c>
      <c r="G15" s="16">
        <f>COUNTIF('10042026'!J6:J47,"On Hold")</f>
        <v>0</v>
      </c>
      <c r="H15" s="12">
        <f>COUNTIF('10042026'!J6:J47,"No Answer")</f>
        <v>0</v>
      </c>
      <c r="I15" s="17">
        <f>COUNTIF('10042026'!J6:J47,"New Enquiry")</f>
        <v>0</v>
      </c>
      <c r="J15" s="18">
        <f>COUNTIF('10042026'!K6:K47,"High")</f>
        <v>1</v>
      </c>
      <c r="K15" s="19">
        <f>SUM('10042026'!L6:L47)</f>
        <v>0</v>
      </c>
    </row>
    <row r="16" spans="1:12" ht="19.95" customHeight="1" x14ac:dyDescent="0.3">
      <c r="B16" s="2">
        <v>46125</v>
      </c>
      <c r="C16" s="3" t="s">
        <v>20</v>
      </c>
      <c r="D16" s="4">
        <f>COUNTA('13042026'!B6:B47)</f>
        <v>0</v>
      </c>
      <c r="E16" s="5">
        <f>COUNTIF('13042026'!J6:J47,"Warm Lead")</f>
        <v>0</v>
      </c>
      <c r="F16" s="6">
        <f>COUNTIF('13042026'!J6:J47,"Confirmed")</f>
        <v>0</v>
      </c>
      <c r="G16" s="7">
        <f>COUNTIF('13042026'!J6:J47,"On Hold")</f>
        <v>0</v>
      </c>
      <c r="H16" s="3">
        <f>COUNTIF('13042026'!J6:J47,"No Answer")</f>
        <v>0</v>
      </c>
      <c r="I16" s="8">
        <f>COUNTIF('13042026'!J6:J47,"New Enquiry")</f>
        <v>0</v>
      </c>
      <c r="J16" s="9">
        <f>COUNTIF('13042026'!K6:K47,"High")</f>
        <v>0</v>
      </c>
      <c r="K16" s="10">
        <f>SUM('13042026'!L6:L47)</f>
        <v>0</v>
      </c>
    </row>
    <row r="17" spans="1:12" ht="19.95" customHeight="1" x14ac:dyDescent="0.3">
      <c r="B17" s="11">
        <v>46126</v>
      </c>
      <c r="C17" s="12" t="s">
        <v>21</v>
      </c>
      <c r="D17" s="13">
        <f>COUNTA('14042026'!B6:B47)</f>
        <v>7</v>
      </c>
      <c r="E17" s="14">
        <f>COUNTIF('14042026'!J6:J47,"Warm Lead")</f>
        <v>7</v>
      </c>
      <c r="F17" s="15">
        <f>COUNTIF('14042026'!J6:J47,"Confirmed")</f>
        <v>0</v>
      </c>
      <c r="G17" s="16">
        <f>COUNTIF('14042026'!J6:J47,"On Hold")</f>
        <v>0</v>
      </c>
      <c r="H17" s="12">
        <f>COUNTIF('14042026'!J6:J47,"No Answer")</f>
        <v>0</v>
      </c>
      <c r="I17" s="17">
        <f>COUNTIF('14042026'!J6:J47,"New Enquiry")</f>
        <v>0</v>
      </c>
      <c r="J17" s="18">
        <f>COUNTIF('14042026'!K6:K47,"High")</f>
        <v>7</v>
      </c>
      <c r="K17" s="19">
        <f>SUM('14042026'!L6:L47)</f>
        <v>0</v>
      </c>
    </row>
    <row r="18" spans="1:12" ht="19.95" customHeight="1" x14ac:dyDescent="0.3">
      <c r="B18" s="2">
        <v>46127</v>
      </c>
      <c r="C18" s="3" t="s">
        <v>17</v>
      </c>
      <c r="D18" s="4">
        <f>COUNTA('15042026'!B6:B47)</f>
        <v>0</v>
      </c>
      <c r="E18" s="5">
        <f>COUNTIF('15042026'!J6:J47,"Warm Lead")</f>
        <v>0</v>
      </c>
      <c r="F18" s="6">
        <f>COUNTIF('15042026'!J6:J47,"Confirmed")</f>
        <v>0</v>
      </c>
      <c r="G18" s="7">
        <f>COUNTIF('15042026'!J6:J47,"On Hold")</f>
        <v>0</v>
      </c>
      <c r="H18" s="3">
        <f>COUNTIF('15042026'!J6:J47,"No Answer")</f>
        <v>0</v>
      </c>
      <c r="I18" s="8">
        <f>COUNTIF('15042026'!J6:J47,"New Enquiry")</f>
        <v>0</v>
      </c>
      <c r="J18" s="9">
        <f>COUNTIF('15042026'!K6:K47,"High")</f>
        <v>0</v>
      </c>
      <c r="K18" s="10">
        <f>SUM('15042026'!L6:L47)</f>
        <v>0</v>
      </c>
    </row>
    <row r="19" spans="1:12" ht="19.95" customHeight="1" x14ac:dyDescent="0.3">
      <c r="B19" s="11">
        <v>46128</v>
      </c>
      <c r="C19" s="12" t="s">
        <v>18</v>
      </c>
      <c r="D19" s="13">
        <f>COUNTA('16042026'!B6:B47)</f>
        <v>0</v>
      </c>
      <c r="E19" s="14">
        <f>COUNTIF('16042026'!J6:J47,"Warm Lead")</f>
        <v>0</v>
      </c>
      <c r="F19" s="15">
        <f>COUNTIF('16042026'!J6:J47,"Confirmed")</f>
        <v>0</v>
      </c>
      <c r="G19" s="16">
        <f>COUNTIF('16042026'!J6:J47,"On Hold")</f>
        <v>0</v>
      </c>
      <c r="H19" s="12">
        <f>COUNTIF('16042026'!J6:J47,"No Answer")</f>
        <v>0</v>
      </c>
      <c r="I19" s="17">
        <f>COUNTIF('16042026'!J6:J47,"New Enquiry")</f>
        <v>0</v>
      </c>
      <c r="J19" s="18">
        <f>COUNTIF('16042026'!K6:K47,"High")</f>
        <v>0</v>
      </c>
      <c r="K19" s="19">
        <f>SUM('16042026'!L6:L47)</f>
        <v>0</v>
      </c>
    </row>
    <row r="20" spans="1:12" ht="19.95" customHeight="1" x14ac:dyDescent="0.3">
      <c r="B20" s="2">
        <v>46129</v>
      </c>
      <c r="C20" s="3" t="s">
        <v>19</v>
      </c>
      <c r="D20" s="4">
        <f>COUNTA('17042026'!B6:B47)</f>
        <v>0</v>
      </c>
      <c r="E20" s="5">
        <f>COUNTIF('17042026'!J6:J47,"Warm Lead")</f>
        <v>0</v>
      </c>
      <c r="F20" s="6">
        <f>COUNTIF('17042026'!J6:J47,"Confirmed")</f>
        <v>0</v>
      </c>
      <c r="G20" s="7">
        <f>COUNTIF('17042026'!J6:J47,"On Hold")</f>
        <v>0</v>
      </c>
      <c r="H20" s="3">
        <f>COUNTIF('17042026'!J6:J47,"No Answer")</f>
        <v>0</v>
      </c>
      <c r="I20" s="8">
        <f>COUNTIF('17042026'!J6:J47,"New Enquiry")</f>
        <v>0</v>
      </c>
      <c r="J20" s="9">
        <f>COUNTIF('17042026'!K6:K47,"High")</f>
        <v>0</v>
      </c>
      <c r="K20" s="10">
        <f>SUM('17042026'!L6:L47)</f>
        <v>0</v>
      </c>
    </row>
    <row r="21" spans="1:12" ht="19.95" customHeight="1" x14ac:dyDescent="0.3">
      <c r="B21" s="11">
        <v>46132</v>
      </c>
      <c r="C21" s="12" t="s">
        <v>20</v>
      </c>
      <c r="D21" s="13">
        <f>COUNTA('20042026'!B6:B47)</f>
        <v>1</v>
      </c>
      <c r="E21" s="14">
        <f>COUNTIF('20042026'!J6:J47,"Warm Lead")</f>
        <v>0</v>
      </c>
      <c r="F21" s="15">
        <f>COUNTIF('20042026'!J6:J47,"Confirmed")</f>
        <v>0</v>
      </c>
      <c r="G21" s="16">
        <f>COUNTIF('20042026'!J6:J47,"On Hold")</f>
        <v>1</v>
      </c>
      <c r="H21" s="12">
        <f>COUNTIF('20042026'!J6:J47,"No Answer")</f>
        <v>0</v>
      </c>
      <c r="I21" s="17">
        <f>COUNTIF('20042026'!J6:J47,"New Enquiry")</f>
        <v>0</v>
      </c>
      <c r="J21" s="18">
        <f>COUNTIF('20042026'!K6:K47,"High")</f>
        <v>0</v>
      </c>
      <c r="K21" s="19">
        <f>SUM('20042026'!L6:L47)</f>
        <v>0</v>
      </c>
    </row>
    <row r="22" spans="1:12" ht="19.95" customHeight="1" x14ac:dyDescent="0.3">
      <c r="B22" s="2">
        <v>46133</v>
      </c>
      <c r="C22" s="3" t="s">
        <v>21</v>
      </c>
      <c r="D22" s="4">
        <f>COUNTA('21042026'!B6:B47)</f>
        <v>2</v>
      </c>
      <c r="E22" s="5">
        <f>COUNTIF('21042026'!J6:J47,"Warm Lead")</f>
        <v>2</v>
      </c>
      <c r="F22" s="6">
        <f>COUNTIF('21042026'!J6:J47,"Confirmed")</f>
        <v>0</v>
      </c>
      <c r="G22" s="7">
        <f>COUNTIF('21042026'!J6:J47,"On Hold")</f>
        <v>0</v>
      </c>
      <c r="H22" s="3">
        <f>COUNTIF('21042026'!J6:J47,"No Answer")</f>
        <v>0</v>
      </c>
      <c r="I22" s="8">
        <f>COUNTIF('21042026'!J6:J47,"New Enquiry")</f>
        <v>0</v>
      </c>
      <c r="J22" s="9">
        <f>COUNTIF('21042026'!K6:K47,"High")</f>
        <v>2</v>
      </c>
      <c r="K22" s="10">
        <f>SUM('21042026'!L6:L47)</f>
        <v>0</v>
      </c>
    </row>
    <row r="23" spans="1:12" ht="19.95" customHeight="1" x14ac:dyDescent="0.3">
      <c r="B23" s="11">
        <v>46134</v>
      </c>
      <c r="C23" s="12" t="s">
        <v>17</v>
      </c>
      <c r="D23" s="13">
        <f>COUNTA('22042026'!B6:B47)</f>
        <v>3</v>
      </c>
      <c r="E23" s="14">
        <f>COUNTIF('22042026'!J6:J47,"Warm Lead")</f>
        <v>0</v>
      </c>
      <c r="F23" s="15">
        <f>COUNTIF('22042026'!J6:J47,"Confirmed")</f>
        <v>0</v>
      </c>
      <c r="G23" s="16">
        <f>COUNTIF('22042026'!J6:J47,"On Hold")</f>
        <v>0</v>
      </c>
      <c r="H23" s="12">
        <f>COUNTIF('22042026'!J6:J47,"No Answer")</f>
        <v>0</v>
      </c>
      <c r="I23" s="17">
        <f>COUNTIF('22042026'!J6:J47,"New Enquiry")</f>
        <v>0</v>
      </c>
      <c r="J23" s="18">
        <f>COUNTIF('22042026'!K6:K47,"High")</f>
        <v>0</v>
      </c>
      <c r="K23" s="19">
        <f>SUM('22042026'!L6:L47)</f>
        <v>0</v>
      </c>
    </row>
    <row r="24" spans="1:12" ht="19.95" customHeight="1" x14ac:dyDescent="0.3">
      <c r="B24" s="2">
        <v>46135</v>
      </c>
      <c r="C24" s="3" t="s">
        <v>18</v>
      </c>
      <c r="D24" s="4">
        <f>COUNTA('23042026'!B6:B47)</f>
        <v>4</v>
      </c>
      <c r="E24" s="5">
        <f>COUNTIF('23042026'!J6:J47,"Warm Lead")</f>
        <v>3</v>
      </c>
      <c r="F24" s="6">
        <f>COUNTIF('23042026'!J6:J47,"Confirmed")</f>
        <v>0</v>
      </c>
      <c r="G24" s="7">
        <f>COUNTIF('23042026'!J6:J47,"On Hold")</f>
        <v>0</v>
      </c>
      <c r="H24" s="3">
        <f>COUNTIF('23042026'!J6:J47,"No Answer")</f>
        <v>1</v>
      </c>
      <c r="I24" s="8">
        <f>COUNTIF('23042026'!J6:J47,"New Enquiry")</f>
        <v>0</v>
      </c>
      <c r="J24" s="9">
        <f>COUNTIF('23042026'!K6:K47,"High")</f>
        <v>4</v>
      </c>
      <c r="K24" s="10">
        <f>SUM('23042026'!L6:L47)</f>
        <v>0</v>
      </c>
    </row>
    <row r="25" spans="1:12" ht="19.95" customHeight="1" x14ac:dyDescent="0.3">
      <c r="B25" s="11">
        <v>46136</v>
      </c>
      <c r="C25" s="12" t="s">
        <v>19</v>
      </c>
      <c r="D25" s="13">
        <f>COUNTA('24042026'!B6:B47)</f>
        <v>0</v>
      </c>
      <c r="E25" s="14">
        <f>COUNTIF('24042026'!J6:J47,"Warm Lead")</f>
        <v>0</v>
      </c>
      <c r="F25" s="15">
        <f>COUNTIF('24042026'!J6:J47,"Confirmed")</f>
        <v>0</v>
      </c>
      <c r="G25" s="16">
        <f>COUNTIF('24042026'!J6:J47,"On Hold")</f>
        <v>0</v>
      </c>
      <c r="H25" s="12">
        <f>COUNTIF('24042026'!J6:J47,"No Answer")</f>
        <v>0</v>
      </c>
      <c r="I25" s="17">
        <f>COUNTIF('24042026'!J6:J47,"New Enquiry")</f>
        <v>0</v>
      </c>
      <c r="J25" s="18">
        <f>COUNTIF('24042026'!K6:K47,"High")</f>
        <v>0</v>
      </c>
      <c r="K25" s="19">
        <f>SUM('24042026'!L6:L47)</f>
        <v>0</v>
      </c>
    </row>
    <row r="26" spans="1:12" ht="19.95" customHeight="1" x14ac:dyDescent="0.3">
      <c r="B26" s="2">
        <v>46139</v>
      </c>
      <c r="C26" s="3" t="s">
        <v>20</v>
      </c>
      <c r="D26" s="4">
        <f>COUNTA('27042026'!B6:B47)</f>
        <v>0</v>
      </c>
      <c r="E26" s="5">
        <f>COUNTIF('27042026'!J6:J47,"Warm Lead")</f>
        <v>0</v>
      </c>
      <c r="F26" s="6">
        <f>COUNTIF('27042026'!J6:J47,"Confirmed")</f>
        <v>0</v>
      </c>
      <c r="G26" s="7">
        <f>COUNTIF('27042026'!J6:J47,"On Hold")</f>
        <v>0</v>
      </c>
      <c r="H26" s="3">
        <f>COUNTIF('27042026'!J6:J47,"No Answer")</f>
        <v>0</v>
      </c>
      <c r="I26" s="8">
        <f>COUNTIF('27042026'!J6:J47,"New Enquiry")</f>
        <v>0</v>
      </c>
      <c r="J26" s="9">
        <f>COUNTIF('27042026'!K6:K47,"High")</f>
        <v>0</v>
      </c>
      <c r="K26" s="10">
        <f>SUM('27042026'!L6:L47)</f>
        <v>0</v>
      </c>
    </row>
    <row r="27" spans="1:12" ht="19.95" customHeight="1" x14ac:dyDescent="0.3">
      <c r="B27" s="11">
        <v>46140</v>
      </c>
      <c r="C27" s="12" t="s">
        <v>21</v>
      </c>
      <c r="D27" s="13">
        <f>COUNTA('28042026'!B6:B47)</f>
        <v>0</v>
      </c>
      <c r="E27" s="14">
        <f>COUNTIF('28042026'!J6:J47,"Warm Lead")</f>
        <v>0</v>
      </c>
      <c r="F27" s="15">
        <f>COUNTIF('28042026'!J6:J47,"Confirmed")</f>
        <v>0</v>
      </c>
      <c r="G27" s="16">
        <f>COUNTIF('28042026'!J6:J47,"On Hold")</f>
        <v>0</v>
      </c>
      <c r="H27" s="12">
        <f>COUNTIF('28042026'!J6:J47,"No Answer")</f>
        <v>0</v>
      </c>
      <c r="I27" s="17">
        <f>COUNTIF('28042026'!J6:J47,"New Enquiry")</f>
        <v>0</v>
      </c>
      <c r="J27" s="18">
        <f>COUNTIF('28042026'!K6:K47,"High")</f>
        <v>0</v>
      </c>
      <c r="K27" s="19">
        <f>SUM('28042026'!L6:L47)</f>
        <v>0</v>
      </c>
    </row>
    <row r="28" spans="1:12" ht="19.95" customHeight="1" x14ac:dyDescent="0.3">
      <c r="B28" s="2">
        <v>46141</v>
      </c>
      <c r="C28" s="3" t="s">
        <v>17</v>
      </c>
      <c r="D28" s="4">
        <f>COUNTA('29042026'!B6:B47)</f>
        <v>0</v>
      </c>
      <c r="E28" s="5">
        <f>COUNTIF('29042026'!J6:J47,"Warm Lead")</f>
        <v>0</v>
      </c>
      <c r="F28" s="6">
        <f>COUNTIF('29042026'!J6:J47,"Confirmed")</f>
        <v>0</v>
      </c>
      <c r="G28" s="7">
        <f>COUNTIF('29042026'!J6:J47,"On Hold")</f>
        <v>0</v>
      </c>
      <c r="H28" s="3">
        <f>COUNTIF('29042026'!J6:J47,"No Answer")</f>
        <v>0</v>
      </c>
      <c r="I28" s="8">
        <f>COUNTIF('29042026'!J6:J47,"New Enquiry")</f>
        <v>0</v>
      </c>
      <c r="J28" s="9">
        <f>COUNTIF('29042026'!K6:K47,"High")</f>
        <v>0</v>
      </c>
      <c r="K28" s="10">
        <f>SUM('29042026'!L6:L47)</f>
        <v>0</v>
      </c>
    </row>
    <row r="29" spans="1:12" ht="19.95" customHeight="1" x14ac:dyDescent="0.3">
      <c r="B29" s="11">
        <v>46142</v>
      </c>
      <c r="C29" s="12" t="s">
        <v>18</v>
      </c>
      <c r="D29" s="13">
        <f>COUNTA('30042026'!B6:B47)</f>
        <v>0</v>
      </c>
      <c r="E29" s="14">
        <f>COUNTIF('30042026'!J6:J47,"Warm Lead")</f>
        <v>0</v>
      </c>
      <c r="F29" s="15">
        <f>COUNTIF('30042026'!J6:J47,"Confirmed")</f>
        <v>0</v>
      </c>
      <c r="G29" s="16">
        <f>COUNTIF('30042026'!J6:J47,"On Hold")</f>
        <v>0</v>
      </c>
      <c r="H29" s="12">
        <f>COUNTIF('30042026'!J6:J47,"No Answer")</f>
        <v>0</v>
      </c>
      <c r="I29" s="17">
        <f>COUNTIF('30042026'!J6:J47,"New Enquiry")</f>
        <v>0</v>
      </c>
      <c r="J29" s="18">
        <f>COUNTIF('30042026'!K6:K47,"High")</f>
        <v>0</v>
      </c>
      <c r="K29" s="19">
        <f>SUM('30042026'!L6:L47)</f>
        <v>0</v>
      </c>
    </row>
    <row r="30" spans="1:12" ht="25.95" customHeight="1" x14ac:dyDescent="0.3">
      <c r="B30" s="20" t="s">
        <v>22</v>
      </c>
      <c r="C30" s="20"/>
      <c r="D30" s="20">
        <f t="shared" ref="D30:K30" si="0">SUM(D8:D29)</f>
        <v>47</v>
      </c>
      <c r="E30" s="20" t="e">
        <f t="shared" si="0"/>
        <v>#REF!</v>
      </c>
      <c r="F30" s="20" t="e">
        <f t="shared" si="0"/>
        <v>#REF!</v>
      </c>
      <c r="G30" s="20" t="e">
        <f t="shared" si="0"/>
        <v>#REF!</v>
      </c>
      <c r="H30" s="20" t="e">
        <f t="shared" si="0"/>
        <v>#REF!</v>
      </c>
      <c r="I30" s="20" t="e">
        <f t="shared" si="0"/>
        <v>#REF!</v>
      </c>
      <c r="J30" s="20" t="e">
        <f t="shared" si="0"/>
        <v>#REF!</v>
      </c>
      <c r="K30" s="21" t="e">
        <f t="shared" si="0"/>
        <v>#REF!</v>
      </c>
    </row>
    <row r="31" spans="1:12" ht="16.05" customHeight="1" x14ac:dyDescent="0.3">
      <c r="A31" s="49" t="s">
        <v>23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</row>
  </sheetData>
  <mergeCells count="14">
    <mergeCell ref="A1:L1"/>
    <mergeCell ref="D5:E5"/>
    <mergeCell ref="F5:G5"/>
    <mergeCell ref="A31:L31"/>
    <mergeCell ref="H5:I5"/>
    <mergeCell ref="D4:E4"/>
    <mergeCell ref="A6:L6"/>
    <mergeCell ref="H4:I4"/>
    <mergeCell ref="B4:C4"/>
    <mergeCell ref="F4:G4"/>
    <mergeCell ref="A2:L2"/>
    <mergeCell ref="J4:K4"/>
    <mergeCell ref="J5:K5"/>
    <mergeCell ref="B5:C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"/>
  <sheetViews>
    <sheetView workbookViewId="0">
      <selection activeCell="N10" sqref="N10"/>
    </sheetView>
  </sheetViews>
  <sheetFormatPr defaultRowHeight="14.4" x14ac:dyDescent="0.3"/>
  <cols>
    <col min="1" max="1" width="4" customWidth="1"/>
    <col min="2" max="2" width="24" customWidth="1"/>
    <col min="3" max="3" width="17" bestFit="1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5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9.95" customHeight="1" x14ac:dyDescent="0.3">
      <c r="A2" s="50" t="s">
        <v>25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26</v>
      </c>
      <c r="M2" s="55"/>
      <c r="N2" s="55"/>
    </row>
    <row r="3" spans="1:15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54"/>
    </row>
    <row r="4" spans="1:15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5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5" ht="22.05" customHeight="1" x14ac:dyDescent="0.3">
      <c r="A6" s="22">
        <v>1</v>
      </c>
      <c r="B6" s="23" t="s">
        <v>110</v>
      </c>
      <c r="C6" s="23" t="s">
        <v>111</v>
      </c>
      <c r="D6" s="23" t="s">
        <v>112</v>
      </c>
      <c r="E6" s="23" t="s">
        <v>118</v>
      </c>
      <c r="F6" s="23"/>
      <c r="G6" s="24">
        <v>46113</v>
      </c>
      <c r="H6" s="24">
        <v>46174</v>
      </c>
      <c r="I6" s="25">
        <f t="shared" ref="I6:I47" ca="1" si="0">IF(H6="","–",H6-TODAY())</f>
        <v>38</v>
      </c>
      <c r="J6" s="23" t="s">
        <v>113</v>
      </c>
      <c r="K6" s="23" t="s">
        <v>114</v>
      </c>
      <c r="L6" s="26"/>
      <c r="M6" s="23" t="s">
        <v>115</v>
      </c>
      <c r="N6" s="27" t="s">
        <v>159</v>
      </c>
    </row>
    <row r="7" spans="1:15" ht="22.05" customHeight="1" x14ac:dyDescent="0.3">
      <c r="A7" s="28">
        <v>2</v>
      </c>
      <c r="B7" s="29" t="s">
        <v>116</v>
      </c>
      <c r="C7" s="29" t="s">
        <v>117</v>
      </c>
      <c r="D7" s="29" t="s">
        <v>112</v>
      </c>
      <c r="E7" s="29" t="s">
        <v>118</v>
      </c>
      <c r="F7" s="29"/>
      <c r="G7" s="30">
        <v>46113</v>
      </c>
      <c r="H7" s="30">
        <v>46203</v>
      </c>
      <c r="I7" s="31">
        <f t="shared" ca="1" si="0"/>
        <v>67</v>
      </c>
      <c r="J7" s="29" t="s">
        <v>113</v>
      </c>
      <c r="K7" s="29" t="s">
        <v>120</v>
      </c>
      <c r="L7" s="32"/>
      <c r="M7" s="29" t="s">
        <v>115</v>
      </c>
      <c r="N7" s="33" t="s">
        <v>121</v>
      </c>
    </row>
    <row r="8" spans="1:15" s="45" customFormat="1" ht="22.05" customHeight="1" x14ac:dyDescent="0.3">
      <c r="A8" s="39">
        <v>3</v>
      </c>
      <c r="B8" s="40" t="s">
        <v>122</v>
      </c>
      <c r="C8" s="40" t="s">
        <v>123</v>
      </c>
      <c r="D8" s="40" t="s">
        <v>112</v>
      </c>
      <c r="E8" s="40" t="s">
        <v>118</v>
      </c>
      <c r="F8" s="40"/>
      <c r="G8" s="41">
        <v>46113</v>
      </c>
      <c r="H8" s="41"/>
      <c r="I8" s="42" t="str">
        <f t="shared" ca="1" si="0"/>
        <v>–</v>
      </c>
      <c r="J8" s="40" t="s">
        <v>113</v>
      </c>
      <c r="K8" s="40" t="s">
        <v>114</v>
      </c>
      <c r="L8" s="43"/>
      <c r="M8" s="40" t="s">
        <v>115</v>
      </c>
      <c r="N8" s="44" t="s">
        <v>126</v>
      </c>
      <c r="O8" s="44"/>
    </row>
    <row r="9" spans="1:15" ht="22.05" customHeight="1" x14ac:dyDescent="0.3">
      <c r="A9" s="28">
        <v>4</v>
      </c>
      <c r="B9" s="29" t="s">
        <v>124</v>
      </c>
      <c r="C9" s="29" t="s">
        <v>125</v>
      </c>
      <c r="D9" s="29" t="s">
        <v>112</v>
      </c>
      <c r="E9" s="29" t="s">
        <v>118</v>
      </c>
      <c r="F9" s="29"/>
      <c r="G9" s="30">
        <v>46113</v>
      </c>
      <c r="H9" s="30"/>
      <c r="I9" s="31" t="str">
        <f t="shared" ca="1" si="0"/>
        <v>–</v>
      </c>
      <c r="J9" s="29" t="s">
        <v>113</v>
      </c>
      <c r="K9" s="29" t="s">
        <v>114</v>
      </c>
      <c r="L9" s="32"/>
      <c r="M9" s="29" t="s">
        <v>115</v>
      </c>
      <c r="N9" s="27" t="s">
        <v>126</v>
      </c>
    </row>
    <row r="10" spans="1:15" ht="22.05" customHeight="1" x14ac:dyDescent="0.3">
      <c r="A10" s="22">
        <v>5</v>
      </c>
      <c r="B10" s="23" t="s">
        <v>127</v>
      </c>
      <c r="C10" s="23" t="s">
        <v>128</v>
      </c>
      <c r="D10" s="23" t="s">
        <v>112</v>
      </c>
      <c r="E10" s="23" t="s">
        <v>118</v>
      </c>
      <c r="F10" s="23"/>
      <c r="G10" s="24">
        <v>46113</v>
      </c>
      <c r="H10" s="24">
        <v>46143</v>
      </c>
      <c r="I10" s="25">
        <f t="shared" ca="1" si="0"/>
        <v>7</v>
      </c>
      <c r="J10" s="23" t="s">
        <v>12</v>
      </c>
      <c r="K10" s="23" t="s">
        <v>119</v>
      </c>
      <c r="L10" s="26"/>
      <c r="M10" s="23" t="s">
        <v>115</v>
      </c>
      <c r="N10" s="27" t="s">
        <v>129</v>
      </c>
    </row>
    <row r="11" spans="1:15" s="45" customFormat="1" ht="22.05" customHeight="1" x14ac:dyDescent="0.3">
      <c r="A11" s="39">
        <v>6</v>
      </c>
      <c r="B11" s="40" t="s">
        <v>130</v>
      </c>
      <c r="C11" s="40" t="s">
        <v>131</v>
      </c>
      <c r="D11" s="40" t="s">
        <v>112</v>
      </c>
      <c r="E11" s="40" t="s">
        <v>118</v>
      </c>
      <c r="F11" s="40"/>
      <c r="G11" s="41">
        <v>46113</v>
      </c>
      <c r="H11" s="41">
        <v>46125</v>
      </c>
      <c r="I11" s="42">
        <f t="shared" ca="1" si="0"/>
        <v>-11</v>
      </c>
      <c r="J11" s="40" t="s">
        <v>113</v>
      </c>
      <c r="K11" s="40" t="s">
        <v>114</v>
      </c>
      <c r="L11" s="43"/>
      <c r="M11" s="40" t="s">
        <v>115</v>
      </c>
      <c r="N11" s="44" t="s">
        <v>129</v>
      </c>
    </row>
    <row r="12" spans="1:15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5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5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5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5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48" xr:uid="{00000000-0009-0000-0000-000001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59" priority="1" operator="lessThan">
      <formula>0</formula>
    </cfRule>
    <cfRule type="cellIs" dxfId="58" priority="2" operator="between">
      <formula>0</formula>
      <formula>7</formula>
    </cfRule>
    <cfRule type="cellIs" dxfId="57" priority="3" operator="greaterThan">
      <formula>7</formula>
    </cfRule>
  </conditionalFormatting>
  <dataValidations count="3">
    <dataValidation type="list" allowBlank="1" sqref="J6:J47" xr:uid="{00000000-0002-0000-0100-000000000000}">
      <formula1>"Warm Lead,Confirmed,On Hold,No Answer,New Enquiry,Lost"</formula1>
    </dataValidation>
    <dataValidation type="list" allowBlank="1" sqref="K6:K47" xr:uid="{00000000-0002-0000-0100-000001000000}">
      <formula1>"High,Medium,Low"</formula1>
    </dataValidation>
    <dataValidation type="list" allowBlank="1" sqref="M6:M47" xr:uid="{00000000-0002-0000-0100-000002000000}">
      <formula1>"Yes,No,Pending"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8"/>
  <sheetViews>
    <sheetView workbookViewId="0">
      <selection activeCell="D8" sqref="D8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46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47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s="45" customFormat="1" ht="22.05" customHeight="1" x14ac:dyDescent="0.3">
      <c r="A6" s="39">
        <v>1</v>
      </c>
      <c r="B6" s="40" t="s">
        <v>132</v>
      </c>
      <c r="C6" s="40" t="s">
        <v>133</v>
      </c>
      <c r="D6" s="40" t="s">
        <v>134</v>
      </c>
      <c r="E6" s="40" t="s">
        <v>118</v>
      </c>
      <c r="F6" s="40"/>
      <c r="G6" s="41">
        <v>46114</v>
      </c>
      <c r="H6" s="41">
        <v>46125</v>
      </c>
      <c r="I6" s="42">
        <f t="shared" ref="I6:I47" ca="1" si="0">IF(H6="","–",H6-TODAY())</f>
        <v>-11</v>
      </c>
      <c r="J6" s="40" t="s">
        <v>113</v>
      </c>
      <c r="K6" s="40" t="s">
        <v>114</v>
      </c>
      <c r="L6" s="43"/>
      <c r="M6" s="40"/>
      <c r="N6" s="44" t="s">
        <v>181</v>
      </c>
    </row>
    <row r="7" spans="1:14" ht="22.05" customHeight="1" x14ac:dyDescent="0.3">
      <c r="A7" s="28">
        <v>2</v>
      </c>
      <c r="B7" s="29" t="s">
        <v>135</v>
      </c>
      <c r="C7" s="29" t="s">
        <v>136</v>
      </c>
      <c r="D7" s="29" t="s">
        <v>137</v>
      </c>
      <c r="E7" s="29" t="s">
        <v>118</v>
      </c>
      <c r="F7" s="29"/>
      <c r="G7" s="30">
        <v>46114</v>
      </c>
      <c r="H7" s="30">
        <v>46119</v>
      </c>
      <c r="I7" s="31">
        <f t="shared" ca="1" si="0"/>
        <v>-17</v>
      </c>
      <c r="J7" s="29" t="s">
        <v>113</v>
      </c>
      <c r="K7" s="29" t="s">
        <v>114</v>
      </c>
      <c r="L7" s="32"/>
      <c r="M7" s="29"/>
      <c r="N7" s="33" t="s">
        <v>138</v>
      </c>
    </row>
    <row r="8" spans="1:14" ht="22.05" customHeight="1" x14ac:dyDescent="0.3">
      <c r="A8" s="22">
        <v>3</v>
      </c>
      <c r="B8" s="23" t="s">
        <v>139</v>
      </c>
      <c r="C8" s="23" t="s">
        <v>140</v>
      </c>
      <c r="D8" s="23"/>
      <c r="E8" s="23" t="s">
        <v>118</v>
      </c>
      <c r="F8" s="23"/>
      <c r="G8" s="24">
        <v>46114</v>
      </c>
      <c r="H8" s="24"/>
      <c r="I8" s="25" t="str">
        <f t="shared" ca="1" si="0"/>
        <v>–</v>
      </c>
      <c r="J8" s="23" t="s">
        <v>12</v>
      </c>
      <c r="K8" s="23" t="s">
        <v>120</v>
      </c>
      <c r="L8" s="26"/>
      <c r="M8" s="23"/>
      <c r="N8" s="27" t="s">
        <v>141</v>
      </c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2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56" priority="1" operator="lessThan">
      <formula>0</formula>
    </cfRule>
    <cfRule type="cellIs" dxfId="55" priority="2" operator="between">
      <formula>0</formula>
      <formula>7</formula>
    </cfRule>
    <cfRule type="cellIs" dxfId="54" priority="3" operator="greaterThan">
      <formula>7</formula>
    </cfRule>
  </conditionalFormatting>
  <dataValidations count="3">
    <dataValidation type="list" allowBlank="1" sqref="J6:J47" xr:uid="{00000000-0002-0000-0200-000000000000}">
      <formula1>"Warm Lead,Confirmed,On Hold,No Answer,New Enquiry,Lost"</formula1>
    </dataValidation>
    <dataValidation type="list" allowBlank="1" sqref="K6:K47" xr:uid="{00000000-0002-0000-0200-000001000000}">
      <formula1>"High,Medium,Low"</formula1>
    </dataValidation>
    <dataValidation type="list" allowBlank="1" sqref="M6:M47" xr:uid="{00000000-0002-0000-0200-000002000000}">
      <formula1>"Yes,No,Pending"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8"/>
  <sheetViews>
    <sheetView workbookViewId="0">
      <selection activeCell="K13" sqref="K13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48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49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 t="s">
        <v>142</v>
      </c>
      <c r="C6" s="23" t="s">
        <v>143</v>
      </c>
      <c r="D6" s="23" t="s">
        <v>144</v>
      </c>
      <c r="E6" s="23" t="s">
        <v>118</v>
      </c>
      <c r="F6" s="23"/>
      <c r="G6" s="24">
        <v>46119</v>
      </c>
      <c r="H6" s="24"/>
      <c r="I6" s="25" t="str">
        <f t="shared" ref="I6:I47" ca="1" si="0">IF(H6="","–",H6-TODAY())</f>
        <v>–</v>
      </c>
      <c r="J6" s="23" t="s">
        <v>13</v>
      </c>
      <c r="K6" s="23" t="s">
        <v>114</v>
      </c>
      <c r="L6" s="26"/>
      <c r="M6" s="23"/>
      <c r="N6" s="27" t="s">
        <v>145</v>
      </c>
    </row>
    <row r="7" spans="1:14" ht="22.05" customHeight="1" x14ac:dyDescent="0.3">
      <c r="A7" s="28">
        <v>2</v>
      </c>
      <c r="B7" s="29" t="s">
        <v>146</v>
      </c>
      <c r="C7" s="29" t="s">
        <v>147</v>
      </c>
      <c r="D7" s="29" t="s">
        <v>144</v>
      </c>
      <c r="E7" s="29" t="s">
        <v>118</v>
      </c>
      <c r="F7" s="29"/>
      <c r="G7" s="30">
        <v>46119</v>
      </c>
      <c r="H7" s="30"/>
      <c r="I7" s="31" t="str">
        <f t="shared" ca="1" si="0"/>
        <v>–</v>
      </c>
      <c r="J7" s="29" t="s">
        <v>13</v>
      </c>
      <c r="K7" s="29" t="s">
        <v>114</v>
      </c>
      <c r="L7" s="32"/>
      <c r="M7" s="29"/>
      <c r="N7" s="33" t="s">
        <v>145</v>
      </c>
    </row>
    <row r="8" spans="1:14" ht="22.05" customHeight="1" x14ac:dyDescent="0.3">
      <c r="A8" s="22">
        <v>3</v>
      </c>
      <c r="B8" s="23" t="s">
        <v>148</v>
      </c>
      <c r="C8" s="23" t="s">
        <v>149</v>
      </c>
      <c r="D8" s="23" t="s">
        <v>144</v>
      </c>
      <c r="E8" s="23" t="s">
        <v>118</v>
      </c>
      <c r="F8" s="23"/>
      <c r="G8" s="24">
        <v>46119</v>
      </c>
      <c r="H8" s="24"/>
      <c r="I8" s="25" t="str">
        <f t="shared" ca="1" si="0"/>
        <v>–</v>
      </c>
      <c r="J8" s="23" t="s">
        <v>13</v>
      </c>
      <c r="K8" s="23" t="s">
        <v>114</v>
      </c>
      <c r="L8" s="26"/>
      <c r="M8" s="23"/>
      <c r="N8" s="27" t="s">
        <v>145</v>
      </c>
    </row>
    <row r="9" spans="1:14" ht="22.05" customHeight="1" x14ac:dyDescent="0.3">
      <c r="A9" s="28">
        <v>4</v>
      </c>
      <c r="B9" s="29" t="s">
        <v>150</v>
      </c>
      <c r="C9" s="29" t="s">
        <v>151</v>
      </c>
      <c r="D9" s="29" t="s">
        <v>144</v>
      </c>
      <c r="E9" s="29" t="s">
        <v>118</v>
      </c>
      <c r="F9" s="29"/>
      <c r="G9" s="30">
        <v>46119</v>
      </c>
      <c r="H9" s="30"/>
      <c r="I9" s="31" t="str">
        <f t="shared" ca="1" si="0"/>
        <v>–</v>
      </c>
      <c r="J9" s="29" t="s">
        <v>13</v>
      </c>
      <c r="K9" s="29" t="s">
        <v>114</v>
      </c>
      <c r="L9" s="32"/>
      <c r="M9" s="29"/>
      <c r="N9" s="33" t="s">
        <v>152</v>
      </c>
    </row>
    <row r="10" spans="1:14" ht="22.05" customHeight="1" x14ac:dyDescent="0.3">
      <c r="A10" s="22">
        <v>5</v>
      </c>
      <c r="B10" s="23" t="s">
        <v>153</v>
      </c>
      <c r="C10" s="23" t="s">
        <v>154</v>
      </c>
      <c r="D10" s="23" t="s">
        <v>155</v>
      </c>
      <c r="E10" s="23" t="s">
        <v>156</v>
      </c>
      <c r="F10" s="23"/>
      <c r="G10" s="24">
        <v>46119</v>
      </c>
      <c r="H10" s="24">
        <v>46122</v>
      </c>
      <c r="I10" s="25">
        <f t="shared" ca="1" si="0"/>
        <v>-14</v>
      </c>
      <c r="J10" s="23" t="s">
        <v>157</v>
      </c>
      <c r="K10" s="23" t="s">
        <v>114</v>
      </c>
      <c r="L10" s="26"/>
      <c r="M10" s="23"/>
      <c r="N10" s="27" t="s">
        <v>158</v>
      </c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5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53" priority="1" operator="lessThan">
      <formula>0</formula>
    </cfRule>
    <cfRule type="cellIs" dxfId="52" priority="2" operator="between">
      <formula>0</formula>
      <formula>7</formula>
    </cfRule>
    <cfRule type="cellIs" dxfId="51" priority="3" operator="greaterThan">
      <formula>7</formula>
    </cfRule>
  </conditionalFormatting>
  <dataValidations count="3">
    <dataValidation type="list" allowBlank="1" sqref="J6:J47" xr:uid="{00000000-0002-0000-0500-000000000000}">
      <formula1>"Warm Lead,Confirmed,On Hold,No Answer,New Enquiry,Lost"</formula1>
    </dataValidation>
    <dataValidation type="list" allowBlank="1" sqref="K6:K47" xr:uid="{00000000-0002-0000-0500-000001000000}">
      <formula1>"High,Medium,Low"</formula1>
    </dataValidation>
    <dataValidation type="list" allowBlank="1" sqref="M6:M47" xr:uid="{00000000-0002-0000-0500-000002000000}">
      <formula1>"Yes,No,Pending"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8"/>
  <sheetViews>
    <sheetView topLeftCell="A3" workbookViewId="0">
      <selection activeCell="N12" sqref="N12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5.5546875" bestFit="1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50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51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 t="s">
        <v>124</v>
      </c>
      <c r="C6" s="23" t="s">
        <v>125</v>
      </c>
      <c r="D6" s="23" t="s">
        <v>112</v>
      </c>
      <c r="E6" s="23" t="s">
        <v>118</v>
      </c>
      <c r="F6" s="23"/>
      <c r="G6" s="24">
        <v>46120</v>
      </c>
      <c r="H6" s="24"/>
      <c r="I6" s="25" t="s">
        <v>160</v>
      </c>
      <c r="J6" s="23" t="s">
        <v>113</v>
      </c>
      <c r="K6" s="23" t="s">
        <v>114</v>
      </c>
      <c r="L6" s="26"/>
      <c r="M6" s="23" t="s">
        <v>115</v>
      </c>
      <c r="N6" s="27" t="s">
        <v>126</v>
      </c>
    </row>
    <row r="7" spans="1:14" s="45" customFormat="1" ht="22.05" customHeight="1" x14ac:dyDescent="0.3">
      <c r="A7" s="39">
        <v>2</v>
      </c>
      <c r="B7" s="40" t="s">
        <v>161</v>
      </c>
      <c r="C7" s="40" t="s">
        <v>162</v>
      </c>
      <c r="D7" s="40" t="s">
        <v>112</v>
      </c>
      <c r="E7" s="40" t="s">
        <v>118</v>
      </c>
      <c r="F7" s="40" t="s">
        <v>163</v>
      </c>
      <c r="G7" s="41">
        <v>46120</v>
      </c>
      <c r="H7" s="41">
        <v>46122</v>
      </c>
      <c r="I7" s="42">
        <f t="shared" ref="I7:I47" ca="1" si="0">IF(H7="","–",H7-TODAY())</f>
        <v>-14</v>
      </c>
      <c r="J7" s="40" t="s">
        <v>113</v>
      </c>
      <c r="K7" s="40" t="s">
        <v>114</v>
      </c>
      <c r="L7" s="43"/>
      <c r="M7" s="40" t="s">
        <v>115</v>
      </c>
      <c r="N7" s="44" t="s">
        <v>164</v>
      </c>
    </row>
    <row r="8" spans="1:14" s="45" customFormat="1" ht="34.200000000000003" x14ac:dyDescent="0.3">
      <c r="A8" s="39">
        <v>3</v>
      </c>
      <c r="B8" s="40" t="s">
        <v>165</v>
      </c>
      <c r="C8" s="40" t="s">
        <v>166</v>
      </c>
      <c r="D8" s="40" t="s">
        <v>112</v>
      </c>
      <c r="E8" s="40" t="s">
        <v>118</v>
      </c>
      <c r="F8" s="40" t="s">
        <v>163</v>
      </c>
      <c r="G8" s="41">
        <v>46120</v>
      </c>
      <c r="H8" s="41">
        <v>46121</v>
      </c>
      <c r="I8" s="42">
        <f t="shared" ca="1" si="0"/>
        <v>-15</v>
      </c>
      <c r="J8" s="40" t="s">
        <v>113</v>
      </c>
      <c r="K8" s="40" t="s">
        <v>114</v>
      </c>
      <c r="L8" s="43"/>
      <c r="M8" s="40" t="s">
        <v>115</v>
      </c>
      <c r="N8" s="44" t="s">
        <v>174</v>
      </c>
    </row>
    <row r="9" spans="1:14" ht="22.05" customHeight="1" x14ac:dyDescent="0.3">
      <c r="A9" s="28">
        <v>4</v>
      </c>
      <c r="B9" s="29" t="s">
        <v>167</v>
      </c>
      <c r="C9" s="29" t="s">
        <v>154</v>
      </c>
      <c r="D9" s="29" t="s">
        <v>168</v>
      </c>
      <c r="E9" s="29"/>
      <c r="F9" s="29" t="s">
        <v>163</v>
      </c>
      <c r="G9" s="30">
        <v>46120</v>
      </c>
      <c r="H9" s="30">
        <v>46121</v>
      </c>
      <c r="I9" s="31">
        <f t="shared" ca="1" si="0"/>
        <v>-15</v>
      </c>
      <c r="J9" s="29" t="s">
        <v>113</v>
      </c>
      <c r="K9" s="29" t="s">
        <v>114</v>
      </c>
      <c r="L9" s="32"/>
      <c r="M9" s="29" t="s">
        <v>115</v>
      </c>
      <c r="N9" s="33" t="s">
        <v>169</v>
      </c>
    </row>
    <row r="10" spans="1:14" ht="22.05" customHeight="1" x14ac:dyDescent="0.3">
      <c r="A10" s="22">
        <v>5</v>
      </c>
      <c r="B10" s="23" t="s">
        <v>170</v>
      </c>
      <c r="C10" s="23" t="s">
        <v>149</v>
      </c>
      <c r="D10" s="23" t="s">
        <v>171</v>
      </c>
      <c r="E10" s="23" t="s">
        <v>156</v>
      </c>
      <c r="F10" s="23" t="s">
        <v>172</v>
      </c>
      <c r="G10" s="24">
        <v>46120</v>
      </c>
      <c r="H10" s="24">
        <v>46121</v>
      </c>
      <c r="I10" s="25">
        <f t="shared" ca="1" si="0"/>
        <v>-15</v>
      </c>
      <c r="J10" s="23" t="s">
        <v>113</v>
      </c>
      <c r="K10" s="23" t="s">
        <v>114</v>
      </c>
      <c r="L10" s="26"/>
      <c r="M10" s="23" t="s">
        <v>115</v>
      </c>
      <c r="N10" s="27" t="s">
        <v>173</v>
      </c>
    </row>
    <row r="11" spans="1:14" ht="22.05" customHeight="1" x14ac:dyDescent="0.3">
      <c r="A11" s="28">
        <v>6</v>
      </c>
      <c r="B11" s="29" t="s">
        <v>175</v>
      </c>
      <c r="C11" s="29" t="s">
        <v>111</v>
      </c>
      <c r="D11" s="29" t="s">
        <v>112</v>
      </c>
      <c r="E11" s="29" t="s">
        <v>118</v>
      </c>
      <c r="F11" s="29"/>
      <c r="G11" s="30">
        <v>46120</v>
      </c>
      <c r="H11" s="30">
        <v>46174</v>
      </c>
      <c r="I11" s="31">
        <f t="shared" ca="1" si="0"/>
        <v>38</v>
      </c>
      <c r="J11" s="29" t="s">
        <v>113</v>
      </c>
      <c r="K11" s="29" t="s">
        <v>114</v>
      </c>
      <c r="L11" s="32"/>
      <c r="M11" s="29" t="s">
        <v>115</v>
      </c>
      <c r="N11" s="33" t="s">
        <v>176</v>
      </c>
    </row>
    <row r="12" spans="1:14" ht="22.05" customHeight="1" x14ac:dyDescent="0.3">
      <c r="A12" s="22">
        <v>7</v>
      </c>
      <c r="B12" s="23" t="s">
        <v>192</v>
      </c>
      <c r="C12" s="23" t="s">
        <v>151</v>
      </c>
      <c r="D12" s="23" t="s">
        <v>112</v>
      </c>
      <c r="E12" s="23" t="s">
        <v>118</v>
      </c>
      <c r="F12" s="23" t="s">
        <v>193</v>
      </c>
      <c r="G12" s="24">
        <v>46120</v>
      </c>
      <c r="H12" s="24"/>
      <c r="I12" s="25" t="str">
        <f t="shared" ca="1" si="0"/>
        <v>–</v>
      </c>
      <c r="J12" s="23" t="s">
        <v>113</v>
      </c>
      <c r="K12" s="23" t="s">
        <v>114</v>
      </c>
      <c r="L12" s="26"/>
      <c r="M12" s="23" t="s">
        <v>115</v>
      </c>
      <c r="N12" s="27" t="s">
        <v>13</v>
      </c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6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50" priority="1" operator="lessThan">
      <formula>0</formula>
    </cfRule>
    <cfRule type="cellIs" dxfId="49" priority="2" operator="between">
      <formula>0</formula>
      <formula>7</formula>
    </cfRule>
    <cfRule type="cellIs" dxfId="48" priority="3" operator="greaterThan">
      <formula>7</formula>
    </cfRule>
  </conditionalFormatting>
  <dataValidations count="3">
    <dataValidation type="list" allowBlank="1" sqref="J6:J47" xr:uid="{00000000-0002-0000-0600-000000000000}">
      <formula1>"Warm Lead,Confirmed,On Hold,No Answer,New Enquiry,Lost"</formula1>
    </dataValidation>
    <dataValidation type="list" allowBlank="1" sqref="K6:K47" xr:uid="{00000000-0002-0000-0600-000001000000}">
      <formula1>"High,Medium,Low"</formula1>
    </dataValidation>
    <dataValidation type="list" allowBlank="1" sqref="M6:M47" xr:uid="{00000000-0002-0000-0600-000002000000}">
      <formula1>"Yes,No,Pending"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8"/>
  <sheetViews>
    <sheetView topLeftCell="A3" workbookViewId="0">
      <selection activeCell="F18" sqref="F18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52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53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s="45" customFormat="1" ht="22.05" customHeight="1" x14ac:dyDescent="0.3">
      <c r="A6" s="39">
        <v>1</v>
      </c>
      <c r="B6" s="40" t="s">
        <v>165</v>
      </c>
      <c r="C6" s="40" t="s">
        <v>166</v>
      </c>
      <c r="D6" s="40" t="s">
        <v>112</v>
      </c>
      <c r="E6" s="40" t="s">
        <v>118</v>
      </c>
      <c r="F6" s="40" t="s">
        <v>163</v>
      </c>
      <c r="G6" s="41">
        <v>46121</v>
      </c>
      <c r="H6" s="41">
        <v>46121</v>
      </c>
      <c r="I6" s="42">
        <v>0</v>
      </c>
      <c r="J6" s="40" t="s">
        <v>113</v>
      </c>
      <c r="K6" s="40" t="s">
        <v>114</v>
      </c>
      <c r="L6" s="43"/>
      <c r="M6" s="40" t="s">
        <v>115</v>
      </c>
      <c r="N6" s="44" t="s">
        <v>178</v>
      </c>
    </row>
    <row r="7" spans="1:14" s="45" customFormat="1" ht="22.05" customHeight="1" x14ac:dyDescent="0.3">
      <c r="A7" s="39">
        <v>2</v>
      </c>
      <c r="B7" s="40" t="s">
        <v>161</v>
      </c>
      <c r="C7" s="40" t="s">
        <v>162</v>
      </c>
      <c r="D7" s="40" t="s">
        <v>112</v>
      </c>
      <c r="E7" s="40" t="s">
        <v>118</v>
      </c>
      <c r="F7" s="40" t="s">
        <v>163</v>
      </c>
      <c r="G7" s="41">
        <v>46120</v>
      </c>
      <c r="H7" s="41">
        <v>46122</v>
      </c>
      <c r="I7" s="42">
        <v>1</v>
      </c>
      <c r="J7" s="40" t="s">
        <v>113</v>
      </c>
      <c r="K7" s="40" t="s">
        <v>114</v>
      </c>
      <c r="L7" s="43"/>
      <c r="M7" s="40" t="s">
        <v>115</v>
      </c>
      <c r="N7" s="44" t="s">
        <v>177</v>
      </c>
    </row>
    <row r="8" spans="1:14" s="45" customFormat="1" ht="22.05" customHeight="1" x14ac:dyDescent="0.3">
      <c r="A8" s="39">
        <v>3</v>
      </c>
      <c r="B8" s="40" t="s">
        <v>122</v>
      </c>
      <c r="C8" s="40" t="s">
        <v>123</v>
      </c>
      <c r="D8" s="40" t="s">
        <v>112</v>
      </c>
      <c r="E8" s="40" t="s">
        <v>118</v>
      </c>
      <c r="F8" s="40"/>
      <c r="G8" s="41">
        <v>46121</v>
      </c>
      <c r="H8" s="41"/>
      <c r="I8" s="42" t="s">
        <v>160</v>
      </c>
      <c r="J8" s="40" t="s">
        <v>113</v>
      </c>
      <c r="K8" s="40" t="s">
        <v>114</v>
      </c>
      <c r="L8" s="43"/>
      <c r="M8" s="40" t="s">
        <v>115</v>
      </c>
      <c r="N8" s="44" t="s">
        <v>179</v>
      </c>
    </row>
    <row r="9" spans="1:14" ht="22.05" customHeight="1" x14ac:dyDescent="0.3">
      <c r="A9" s="28">
        <v>1</v>
      </c>
      <c r="B9" s="29" t="s">
        <v>142</v>
      </c>
      <c r="C9" s="29" t="s">
        <v>143</v>
      </c>
      <c r="D9" s="29" t="s">
        <v>144</v>
      </c>
      <c r="E9" s="29" t="s">
        <v>118</v>
      </c>
      <c r="F9" s="29"/>
      <c r="G9" s="30">
        <v>46121</v>
      </c>
      <c r="H9" s="30"/>
      <c r="I9" s="31" t="s">
        <v>160</v>
      </c>
      <c r="J9" s="29" t="s">
        <v>13</v>
      </c>
      <c r="K9" s="29" t="s">
        <v>114</v>
      </c>
      <c r="L9" s="32"/>
      <c r="M9" s="29"/>
      <c r="N9" s="33" t="s">
        <v>180</v>
      </c>
    </row>
    <row r="10" spans="1:14" ht="22.05" customHeight="1" x14ac:dyDescent="0.3">
      <c r="A10" s="22">
        <v>5</v>
      </c>
      <c r="B10" s="23" t="s">
        <v>182</v>
      </c>
      <c r="C10" s="23" t="s">
        <v>183</v>
      </c>
      <c r="D10" s="23" t="s">
        <v>144</v>
      </c>
      <c r="E10" s="23" t="s">
        <v>118</v>
      </c>
      <c r="F10" s="23"/>
      <c r="G10" s="24">
        <v>46121</v>
      </c>
      <c r="H10" s="24">
        <v>46125</v>
      </c>
      <c r="I10" s="25">
        <f t="shared" ref="I10:I47" ca="1" si="0">IF(H10="","–",H10-TODAY())</f>
        <v>-11</v>
      </c>
      <c r="J10" s="23" t="s">
        <v>113</v>
      </c>
      <c r="K10" s="23" t="s">
        <v>114</v>
      </c>
      <c r="L10" s="26"/>
      <c r="M10" s="23"/>
      <c r="N10" s="27" t="s">
        <v>184</v>
      </c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7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47" priority="1" operator="lessThan">
      <formula>0</formula>
    </cfRule>
    <cfRule type="cellIs" dxfId="46" priority="2" operator="between">
      <formula>0</formula>
      <formula>7</formula>
    </cfRule>
    <cfRule type="cellIs" dxfId="45" priority="3" operator="greaterThan">
      <formula>7</formula>
    </cfRule>
  </conditionalFormatting>
  <dataValidations count="3">
    <dataValidation type="list" allowBlank="1" sqref="J6:J47" xr:uid="{00000000-0002-0000-0700-000000000000}">
      <formula1>"Warm Lead,Confirmed,On Hold,No Answer,New Enquiry,Lost"</formula1>
    </dataValidation>
    <dataValidation type="list" allowBlank="1" sqref="K6:K47" xr:uid="{00000000-0002-0000-0700-000001000000}">
      <formula1>"High,Medium,Low"</formula1>
    </dataValidation>
    <dataValidation type="list" allowBlank="1" sqref="M6:M47" xr:uid="{00000000-0002-0000-0700-000002000000}">
      <formula1>"Yes,No,Pending"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8"/>
  <sheetViews>
    <sheetView workbookViewId="0">
      <selection activeCell="B6" sqref="B6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56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57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/>
      <c r="C6" s="23"/>
      <c r="D6" s="23"/>
      <c r="E6" s="23"/>
      <c r="F6" s="23"/>
      <c r="G6" s="24"/>
      <c r="H6" s="24"/>
      <c r="I6" s="25" t="str">
        <f t="shared" ref="I6:I47" ca="1" si="0">IF(H6="","–",H6-TODAY())</f>
        <v>–</v>
      </c>
      <c r="J6" s="23"/>
      <c r="K6" s="23"/>
      <c r="L6" s="26"/>
      <c r="M6" s="23"/>
      <c r="N6" s="27"/>
    </row>
    <row r="7" spans="1:14" ht="22.05" customHeight="1" x14ac:dyDescent="0.3">
      <c r="A7" s="28">
        <v>2</v>
      </c>
      <c r="B7" s="29"/>
      <c r="C7" s="29"/>
      <c r="D7" s="29"/>
      <c r="E7" s="29"/>
      <c r="F7" s="29"/>
      <c r="G7" s="30"/>
      <c r="H7" s="30"/>
      <c r="I7" s="31" t="str">
        <f t="shared" ca="1" si="0"/>
        <v>–</v>
      </c>
      <c r="J7" s="29"/>
      <c r="K7" s="29"/>
      <c r="L7" s="32"/>
      <c r="M7" s="29"/>
      <c r="N7" s="33"/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9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44" priority="1" operator="lessThan">
      <formula>0</formula>
    </cfRule>
    <cfRule type="cellIs" dxfId="43" priority="2" operator="between">
      <formula>0</formula>
      <formula>7</formula>
    </cfRule>
    <cfRule type="cellIs" dxfId="42" priority="3" operator="greaterThan">
      <formula>7</formula>
    </cfRule>
  </conditionalFormatting>
  <dataValidations count="3">
    <dataValidation type="list" allowBlank="1" sqref="J6:J47" xr:uid="{00000000-0002-0000-0900-000000000000}">
      <formula1>"Warm Lead,Confirmed,On Hold,No Answer,New Enquiry,Lost"</formula1>
    </dataValidation>
    <dataValidation type="list" allowBlank="1" sqref="K6:K47" xr:uid="{00000000-0002-0000-0900-000001000000}">
      <formula1>"High,Medium,Low"</formula1>
    </dataValidation>
    <dataValidation type="list" allowBlank="1" sqref="M6:M47" xr:uid="{00000000-0002-0000-0900-000002000000}">
      <formula1>"Yes,No,Pending"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8"/>
  <sheetViews>
    <sheetView workbookViewId="0">
      <selection activeCell="N6" sqref="N6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54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55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41.4" customHeight="1" x14ac:dyDescent="0.3">
      <c r="A6" s="22">
        <v>1</v>
      </c>
      <c r="B6" s="23" t="s">
        <v>185</v>
      </c>
      <c r="C6" s="23" t="s">
        <v>186</v>
      </c>
      <c r="D6" s="23" t="s">
        <v>144</v>
      </c>
      <c r="E6" s="23" t="s">
        <v>187</v>
      </c>
      <c r="F6" s="23" t="s">
        <v>188</v>
      </c>
      <c r="G6" s="24">
        <v>46122</v>
      </c>
      <c r="H6" s="24">
        <v>46142</v>
      </c>
      <c r="I6" s="25">
        <f t="shared" ref="I6:I47" ca="1" si="0">IF(H6="","–",H6-TODAY())</f>
        <v>6</v>
      </c>
      <c r="J6" s="23" t="s">
        <v>113</v>
      </c>
      <c r="K6" s="23" t="s">
        <v>114</v>
      </c>
      <c r="L6" s="26"/>
      <c r="M6" s="23" t="s">
        <v>115</v>
      </c>
      <c r="N6" s="27" t="s">
        <v>189</v>
      </c>
    </row>
    <row r="7" spans="1:14" ht="22.05" customHeight="1" x14ac:dyDescent="0.3">
      <c r="A7" s="28">
        <v>2</v>
      </c>
      <c r="B7" s="29" t="s">
        <v>190</v>
      </c>
      <c r="C7" s="29" t="s">
        <v>136</v>
      </c>
      <c r="D7" s="29" t="s">
        <v>191</v>
      </c>
      <c r="E7" s="29" t="s">
        <v>187</v>
      </c>
      <c r="F7" s="29" t="s">
        <v>188</v>
      </c>
      <c r="G7" s="30"/>
      <c r="H7" s="30"/>
      <c r="I7" s="31" t="str">
        <f t="shared" ca="1" si="0"/>
        <v>–</v>
      </c>
      <c r="J7" s="29"/>
      <c r="K7" s="29"/>
      <c r="L7" s="32"/>
      <c r="M7" s="29"/>
      <c r="N7" s="33" t="s">
        <v>216</v>
      </c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8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41" priority="1" operator="lessThan">
      <formula>0</formula>
    </cfRule>
    <cfRule type="cellIs" dxfId="40" priority="2" operator="between">
      <formula>0</formula>
      <formula>7</formula>
    </cfRule>
    <cfRule type="cellIs" dxfId="39" priority="3" operator="greaterThan">
      <formula>7</formula>
    </cfRule>
  </conditionalFormatting>
  <dataValidations count="3">
    <dataValidation type="list" allowBlank="1" sqref="J6:J47" xr:uid="{00000000-0002-0000-0800-000000000000}">
      <formula1>"Warm Lead,Confirmed,On Hold,No Answer,New Enquiry,Lost"</formula1>
    </dataValidation>
    <dataValidation type="list" allowBlank="1" sqref="K6:K47" xr:uid="{00000000-0002-0000-0800-000001000000}">
      <formula1>"High,Medium,Low"</formula1>
    </dataValidation>
    <dataValidation type="list" allowBlank="1" sqref="M6:M47" xr:uid="{00000000-0002-0000-0800-000002000000}">
      <formula1>"Yes,No,Pending"</formula1>
    </dataValidation>
  </dataValidation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8"/>
  <sheetViews>
    <sheetView topLeftCell="D1" workbookViewId="0">
      <selection activeCell="J14" sqref="J14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58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59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 t="s">
        <v>194</v>
      </c>
      <c r="C6" s="23" t="s">
        <v>195</v>
      </c>
      <c r="D6" s="23" t="s">
        <v>196</v>
      </c>
      <c r="E6" s="23" t="s">
        <v>118</v>
      </c>
      <c r="F6" s="23" t="s">
        <v>197</v>
      </c>
      <c r="G6" s="24">
        <v>46126</v>
      </c>
      <c r="H6" s="24">
        <v>46143</v>
      </c>
      <c r="I6" s="25">
        <f t="shared" ref="I6:I47" ca="1" si="0">IF(H6="","–",H6-TODAY())</f>
        <v>7</v>
      </c>
      <c r="J6" s="23" t="s">
        <v>113</v>
      </c>
      <c r="K6" s="23" t="s">
        <v>114</v>
      </c>
      <c r="L6" s="26"/>
      <c r="M6" s="23" t="s">
        <v>198</v>
      </c>
      <c r="N6" s="27" t="s">
        <v>199</v>
      </c>
    </row>
    <row r="7" spans="1:14" ht="22.05" customHeight="1" x14ac:dyDescent="0.3">
      <c r="A7" s="28">
        <v>2</v>
      </c>
      <c r="B7" s="29" t="s">
        <v>200</v>
      </c>
      <c r="C7" s="29" t="s">
        <v>201</v>
      </c>
      <c r="D7" s="29" t="s">
        <v>191</v>
      </c>
      <c r="E7" s="29" t="s">
        <v>118</v>
      </c>
      <c r="F7" s="29" t="s">
        <v>197</v>
      </c>
      <c r="G7" s="30">
        <v>46126</v>
      </c>
      <c r="H7" s="30">
        <v>46143</v>
      </c>
      <c r="I7" s="31">
        <f t="shared" ca="1" si="0"/>
        <v>7</v>
      </c>
      <c r="J7" s="29" t="s">
        <v>113</v>
      </c>
      <c r="K7" s="29" t="s">
        <v>114</v>
      </c>
      <c r="L7" s="32"/>
      <c r="M7" s="29" t="s">
        <v>198</v>
      </c>
      <c r="N7" s="33" t="s">
        <v>202</v>
      </c>
    </row>
    <row r="8" spans="1:14" ht="22.05" customHeight="1" x14ac:dyDescent="0.3">
      <c r="A8" s="22">
        <v>3</v>
      </c>
      <c r="B8" s="23" t="s">
        <v>203</v>
      </c>
      <c r="C8" s="23" t="s">
        <v>204</v>
      </c>
      <c r="D8" s="23" t="s">
        <v>205</v>
      </c>
      <c r="E8" s="23" t="s">
        <v>118</v>
      </c>
      <c r="F8" s="23" t="s">
        <v>197</v>
      </c>
      <c r="G8" s="24">
        <v>46126</v>
      </c>
      <c r="H8" s="24"/>
      <c r="I8" s="25" t="str">
        <f t="shared" ca="1" si="0"/>
        <v>–</v>
      </c>
      <c r="J8" s="23" t="s">
        <v>113</v>
      </c>
      <c r="K8" s="23" t="s">
        <v>114</v>
      </c>
      <c r="L8" s="26"/>
      <c r="M8" s="23" t="s">
        <v>115</v>
      </c>
      <c r="N8" s="27" t="s">
        <v>206</v>
      </c>
    </row>
    <row r="9" spans="1:14" ht="22.05" customHeight="1" x14ac:dyDescent="0.3">
      <c r="A9" s="28">
        <v>4</v>
      </c>
      <c r="B9" s="29" t="s">
        <v>207</v>
      </c>
      <c r="C9" s="29"/>
      <c r="D9" s="29" t="s">
        <v>208</v>
      </c>
      <c r="E9" s="29" t="s">
        <v>156</v>
      </c>
      <c r="F9" s="29" t="s">
        <v>209</v>
      </c>
      <c r="G9" s="30">
        <v>46126</v>
      </c>
      <c r="H9" s="30"/>
      <c r="I9" s="31" t="str">
        <f t="shared" ca="1" si="0"/>
        <v>–</v>
      </c>
      <c r="J9" s="29" t="s">
        <v>113</v>
      </c>
      <c r="K9" s="29" t="s">
        <v>114</v>
      </c>
      <c r="L9" s="32"/>
      <c r="M9" s="29" t="s">
        <v>115</v>
      </c>
      <c r="N9" s="33" t="s">
        <v>210</v>
      </c>
    </row>
    <row r="10" spans="1:14" ht="22.05" customHeight="1" x14ac:dyDescent="0.3">
      <c r="A10" s="22">
        <v>5</v>
      </c>
      <c r="B10" s="23" t="s">
        <v>211</v>
      </c>
      <c r="C10" s="23" t="s">
        <v>111</v>
      </c>
      <c r="D10" s="23" t="s">
        <v>191</v>
      </c>
      <c r="E10" s="23" t="s">
        <v>118</v>
      </c>
      <c r="F10" s="23" t="s">
        <v>197</v>
      </c>
      <c r="G10" s="24">
        <v>46126</v>
      </c>
      <c r="H10" s="24">
        <v>46156</v>
      </c>
      <c r="I10" s="25">
        <f t="shared" ca="1" si="0"/>
        <v>20</v>
      </c>
      <c r="J10" s="23" t="s">
        <v>113</v>
      </c>
      <c r="K10" s="23" t="s">
        <v>114</v>
      </c>
      <c r="L10" s="26"/>
      <c r="M10" s="23" t="s">
        <v>115</v>
      </c>
      <c r="N10" s="27" t="s">
        <v>212</v>
      </c>
    </row>
    <row r="11" spans="1:14" ht="22.05" customHeight="1" x14ac:dyDescent="0.3">
      <c r="A11" s="28">
        <v>6</v>
      </c>
      <c r="B11" s="29" t="s">
        <v>213</v>
      </c>
      <c r="C11" s="29" t="s">
        <v>214</v>
      </c>
      <c r="D11" s="29" t="s">
        <v>196</v>
      </c>
      <c r="E11" s="29" t="s">
        <v>118</v>
      </c>
      <c r="F11" s="29" t="s">
        <v>197</v>
      </c>
      <c r="G11" s="30">
        <v>46126</v>
      </c>
      <c r="H11" s="30">
        <v>46132</v>
      </c>
      <c r="I11" s="31">
        <f t="shared" ca="1" si="0"/>
        <v>-4</v>
      </c>
      <c r="J11" s="29" t="s">
        <v>113</v>
      </c>
      <c r="K11" s="29" t="s">
        <v>114</v>
      </c>
      <c r="L11" s="32"/>
      <c r="M11" s="29" t="s">
        <v>198</v>
      </c>
      <c r="N11" s="33" t="s">
        <v>215</v>
      </c>
    </row>
    <row r="12" spans="1:14" ht="22.05" customHeight="1" x14ac:dyDescent="0.3">
      <c r="A12" s="22">
        <v>7</v>
      </c>
      <c r="B12" s="23" t="s">
        <v>217</v>
      </c>
      <c r="C12" s="23" t="s">
        <v>218</v>
      </c>
      <c r="D12" s="23" t="s">
        <v>219</v>
      </c>
      <c r="E12" s="23" t="s">
        <v>118</v>
      </c>
      <c r="F12" s="23" t="s">
        <v>197</v>
      </c>
      <c r="G12" s="24">
        <v>46127</v>
      </c>
      <c r="H12" s="24"/>
      <c r="I12" s="25" t="str">
        <f t="shared" ca="1" si="0"/>
        <v>–</v>
      </c>
      <c r="J12" s="23" t="s">
        <v>113</v>
      </c>
      <c r="K12" s="23" t="s">
        <v>114</v>
      </c>
      <c r="L12" s="26"/>
      <c r="M12" s="23" t="s">
        <v>198</v>
      </c>
      <c r="N12" s="27" t="s">
        <v>230</v>
      </c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A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38" priority="1" operator="lessThan">
      <formula>0</formula>
    </cfRule>
    <cfRule type="cellIs" dxfId="37" priority="2" operator="between">
      <formula>0</formula>
      <formula>7</formula>
    </cfRule>
    <cfRule type="cellIs" dxfId="36" priority="3" operator="greaterThan">
      <formula>7</formula>
    </cfRule>
  </conditionalFormatting>
  <dataValidations count="3">
    <dataValidation type="list" allowBlank="1" sqref="J6:J47" xr:uid="{00000000-0002-0000-0A00-000000000000}">
      <formula1>"Warm Lead,Confirmed,On Hold,No Answer,New Enquiry,Lost"</formula1>
    </dataValidation>
    <dataValidation type="list" allowBlank="1" sqref="K6:K47" xr:uid="{00000000-0002-0000-0A00-000001000000}">
      <formula1>"High,Medium,Low"</formula1>
    </dataValidation>
    <dataValidation type="list" allowBlank="1" sqref="M6:M47" xr:uid="{00000000-0002-0000-0A00-000002000000}">
      <formula1>"Yes,No,Pending"</formula1>
    </dataValidation>
  </dataValidation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8"/>
  <sheetViews>
    <sheetView workbookViewId="0">
      <selection activeCell="D8" sqref="D8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61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/>
      <c r="C6" s="23"/>
      <c r="D6" s="23"/>
      <c r="E6" s="23"/>
      <c r="F6" s="23"/>
      <c r="G6" s="24"/>
      <c r="H6" s="24"/>
      <c r="I6" s="25" t="str">
        <f t="shared" ref="I6:I47" ca="1" si="0">IF(H6="","–",H6-TODAY())</f>
        <v>–</v>
      </c>
      <c r="J6" s="23"/>
      <c r="K6" s="23"/>
      <c r="L6" s="26"/>
      <c r="M6" s="23"/>
      <c r="N6" s="27"/>
    </row>
    <row r="7" spans="1:14" ht="22.05" customHeight="1" x14ac:dyDescent="0.3">
      <c r="A7" s="28">
        <v>2</v>
      </c>
      <c r="B7" s="29"/>
      <c r="C7" s="29"/>
      <c r="D7" s="29"/>
      <c r="E7" s="29"/>
      <c r="F7" s="29"/>
      <c r="G7" s="30"/>
      <c r="H7" s="30"/>
      <c r="I7" s="31" t="str">
        <f t="shared" ca="1" si="0"/>
        <v>–</v>
      </c>
      <c r="J7" s="29"/>
      <c r="K7" s="29"/>
      <c r="L7" s="32"/>
      <c r="M7" s="29"/>
      <c r="N7" s="33"/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B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35" priority="1" operator="lessThan">
      <formula>0</formula>
    </cfRule>
    <cfRule type="cellIs" dxfId="34" priority="2" operator="between">
      <formula>0</formula>
      <formula>7</formula>
    </cfRule>
    <cfRule type="cellIs" dxfId="33" priority="3" operator="greaterThan">
      <formula>7</formula>
    </cfRule>
  </conditionalFormatting>
  <dataValidations count="3">
    <dataValidation type="list" allowBlank="1" sqref="J6:J47" xr:uid="{00000000-0002-0000-0B00-000000000000}">
      <formula1>"Warm Lead,Confirmed,On Hold,No Answer,New Enquiry,Lost"</formula1>
    </dataValidation>
    <dataValidation type="list" allowBlank="1" sqref="K6:K47" xr:uid="{00000000-0002-0000-0B00-000001000000}">
      <formula1>"High,Medium,Low"</formula1>
    </dataValidation>
    <dataValidation type="list" allowBlank="1" sqref="M6:M47" xr:uid="{00000000-0002-0000-0B00-000002000000}">
      <formula1>"Yes,No,Pending"</formula1>
    </dataValidation>
  </dataValidation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8"/>
  <sheetViews>
    <sheetView workbookViewId="0">
      <selection sqref="A1:N1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62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63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/>
      <c r="C6" s="23"/>
      <c r="D6" s="23"/>
      <c r="E6" s="23"/>
      <c r="F6" s="23"/>
      <c r="G6" s="24"/>
      <c r="H6" s="24"/>
      <c r="I6" s="25" t="str">
        <f t="shared" ref="I6:I47" ca="1" si="0">IF(H6="","–",H6-TODAY())</f>
        <v>–</v>
      </c>
      <c r="J6" s="23"/>
      <c r="K6" s="23"/>
      <c r="L6" s="26"/>
      <c r="M6" s="23"/>
      <c r="N6" s="27"/>
    </row>
    <row r="7" spans="1:14" ht="22.05" customHeight="1" x14ac:dyDescent="0.3">
      <c r="A7" s="28">
        <v>2</v>
      </c>
      <c r="B7" s="29"/>
      <c r="C7" s="29"/>
      <c r="D7" s="29"/>
      <c r="E7" s="29"/>
      <c r="F7" s="29"/>
      <c r="G7" s="30"/>
      <c r="H7" s="30"/>
      <c r="I7" s="31" t="str">
        <f t="shared" ca="1" si="0"/>
        <v>–</v>
      </c>
      <c r="J7" s="29"/>
      <c r="K7" s="29"/>
      <c r="L7" s="32"/>
      <c r="M7" s="29"/>
      <c r="N7" s="33"/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C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32" priority="1" operator="lessThan">
      <formula>0</formula>
    </cfRule>
    <cfRule type="cellIs" dxfId="31" priority="2" operator="between">
      <formula>0</formula>
      <formula>7</formula>
    </cfRule>
    <cfRule type="cellIs" dxfId="30" priority="3" operator="greaterThan">
      <formula>7</formula>
    </cfRule>
  </conditionalFormatting>
  <dataValidations count="3">
    <dataValidation type="list" allowBlank="1" sqref="J6:J47" xr:uid="{00000000-0002-0000-0C00-000000000000}">
      <formula1>"Warm Lead,Confirmed,On Hold,No Answer,New Enquiry,Lost"</formula1>
    </dataValidation>
    <dataValidation type="list" allowBlank="1" sqref="K6:K47" xr:uid="{00000000-0002-0000-0C00-000001000000}">
      <formula1>"High,Medium,Low"</formula1>
    </dataValidation>
    <dataValidation type="list" allowBlank="1" sqref="M6:M47" xr:uid="{00000000-0002-0000-0C00-000002000000}">
      <formula1>"Yes,No,Pending"</formula1>
    </dataValidation>
  </dataValidation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8"/>
  <sheetViews>
    <sheetView workbookViewId="0">
      <selection sqref="A1:N1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64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65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/>
      <c r="C6" s="23"/>
      <c r="D6" s="23"/>
      <c r="E6" s="23"/>
      <c r="F6" s="23"/>
      <c r="G6" s="24"/>
      <c r="H6" s="24"/>
      <c r="I6" s="25" t="str">
        <f t="shared" ref="I6:I47" ca="1" si="0">IF(H6="","–",H6-TODAY())</f>
        <v>–</v>
      </c>
      <c r="J6" s="23"/>
      <c r="K6" s="23"/>
      <c r="L6" s="26"/>
      <c r="M6" s="23"/>
      <c r="N6" s="27"/>
    </row>
    <row r="7" spans="1:14" ht="22.05" customHeight="1" x14ac:dyDescent="0.3">
      <c r="A7" s="28">
        <v>2</v>
      </c>
      <c r="B7" s="29"/>
      <c r="C7" s="29"/>
      <c r="D7" s="29"/>
      <c r="E7" s="29"/>
      <c r="F7" s="29"/>
      <c r="G7" s="30"/>
      <c r="H7" s="30"/>
      <c r="I7" s="31" t="str">
        <f t="shared" ca="1" si="0"/>
        <v>–</v>
      </c>
      <c r="J7" s="29"/>
      <c r="K7" s="29"/>
      <c r="L7" s="32"/>
      <c r="M7" s="29"/>
      <c r="N7" s="33"/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D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29" priority="1" operator="lessThan">
      <formula>0</formula>
    </cfRule>
    <cfRule type="cellIs" dxfId="28" priority="2" operator="between">
      <formula>0</formula>
      <formula>7</formula>
    </cfRule>
    <cfRule type="cellIs" dxfId="27" priority="3" operator="greaterThan">
      <formula>7</formula>
    </cfRule>
  </conditionalFormatting>
  <dataValidations count="3">
    <dataValidation type="list" allowBlank="1" sqref="J6:J47" xr:uid="{00000000-0002-0000-0D00-000000000000}">
      <formula1>"Warm Lead,Confirmed,On Hold,No Answer,New Enquiry,Lost"</formula1>
    </dataValidation>
    <dataValidation type="list" allowBlank="1" sqref="K6:K47" xr:uid="{00000000-0002-0000-0D00-000001000000}">
      <formula1>"High,Medium,Low"</formula1>
    </dataValidation>
    <dataValidation type="list" allowBlank="1" sqref="M6:M47" xr:uid="{00000000-0002-0000-0D00-000002000000}">
      <formula1>"Yes,No,Pending"</formula1>
    </dataValidation>
  </dataValidation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8"/>
  <sheetViews>
    <sheetView workbookViewId="0">
      <selection activeCell="H7" sqref="H7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66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67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 t="s">
        <v>220</v>
      </c>
      <c r="C6" s="23" t="s">
        <v>221</v>
      </c>
      <c r="D6" s="23" t="s">
        <v>222</v>
      </c>
      <c r="E6" s="23" t="s">
        <v>118</v>
      </c>
      <c r="F6" s="23" t="s">
        <v>197</v>
      </c>
      <c r="G6" s="24">
        <v>46132</v>
      </c>
      <c r="H6" s="24">
        <v>46174</v>
      </c>
      <c r="I6" s="25">
        <f t="shared" ref="I6:I47" ca="1" si="0">IF(H6="","–",H6-TODAY())</f>
        <v>38</v>
      </c>
      <c r="J6" s="23" t="s">
        <v>12</v>
      </c>
      <c r="K6" s="23" t="s">
        <v>119</v>
      </c>
      <c r="L6" s="26"/>
      <c r="M6" s="23"/>
      <c r="N6" s="27" t="s">
        <v>223</v>
      </c>
    </row>
    <row r="7" spans="1:14" ht="22.05" customHeight="1" x14ac:dyDescent="0.3">
      <c r="A7" s="28">
        <v>2</v>
      </c>
      <c r="B7" s="29"/>
      <c r="C7" s="29"/>
      <c r="D7" s="29"/>
      <c r="E7" s="29"/>
      <c r="F7" s="29"/>
      <c r="G7" s="30"/>
      <c r="H7" s="30"/>
      <c r="I7" s="31" t="str">
        <f t="shared" ca="1" si="0"/>
        <v>–</v>
      </c>
      <c r="J7" s="29"/>
      <c r="K7" s="29"/>
      <c r="L7" s="32"/>
      <c r="M7" s="29"/>
      <c r="N7" s="33"/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E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26" priority="1" operator="lessThan">
      <formula>0</formula>
    </cfRule>
    <cfRule type="cellIs" dxfId="25" priority="2" operator="between">
      <formula>0</formula>
      <formula>7</formula>
    </cfRule>
    <cfRule type="cellIs" dxfId="24" priority="3" operator="greaterThan">
      <formula>7</formula>
    </cfRule>
  </conditionalFormatting>
  <dataValidations count="3">
    <dataValidation type="list" allowBlank="1" sqref="J6:J47" xr:uid="{00000000-0002-0000-0E00-000000000000}">
      <formula1>"Warm Lead,Confirmed,On Hold,No Answer,New Enquiry,Lost"</formula1>
    </dataValidation>
    <dataValidation type="list" allowBlank="1" sqref="K6:K47" xr:uid="{00000000-0002-0000-0E00-000001000000}">
      <formula1>"High,Medium,Low"</formula1>
    </dataValidation>
    <dataValidation type="list" allowBlank="1" sqref="M6:M47" xr:uid="{00000000-0002-0000-0E00-000002000000}">
      <formula1>"Yes,No,Pending"</formula1>
    </dataValidation>
  </dataValidation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8"/>
  <sheetViews>
    <sheetView workbookViewId="0">
      <selection activeCell="B8" sqref="B8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68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69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 t="s">
        <v>224</v>
      </c>
      <c r="C6" s="23" t="s">
        <v>128</v>
      </c>
      <c r="D6" s="23" t="s">
        <v>144</v>
      </c>
      <c r="E6" s="23" t="s">
        <v>118</v>
      </c>
      <c r="F6" s="23" t="s">
        <v>225</v>
      </c>
      <c r="G6" s="24">
        <v>46133</v>
      </c>
      <c r="H6" s="24">
        <v>46173</v>
      </c>
      <c r="I6" s="25">
        <f t="shared" ref="I6:I47" ca="1" si="0">IF(H6="","–",H6-TODAY())</f>
        <v>37</v>
      </c>
      <c r="J6" s="23" t="s">
        <v>113</v>
      </c>
      <c r="K6" s="23" t="s">
        <v>114</v>
      </c>
      <c r="L6" s="26"/>
      <c r="M6" s="23"/>
      <c r="N6" s="27" t="s">
        <v>226</v>
      </c>
    </row>
    <row r="7" spans="1:14" ht="22.05" customHeight="1" x14ac:dyDescent="0.3">
      <c r="A7" s="28">
        <v>2</v>
      </c>
      <c r="B7" s="29" t="s">
        <v>227</v>
      </c>
      <c r="C7" s="29" t="s">
        <v>228</v>
      </c>
      <c r="D7" s="29" t="s">
        <v>144</v>
      </c>
      <c r="E7" s="29" t="s">
        <v>118</v>
      </c>
      <c r="F7" s="29" t="s">
        <v>225</v>
      </c>
      <c r="G7" s="30">
        <v>46133</v>
      </c>
      <c r="H7" s="30">
        <v>46174</v>
      </c>
      <c r="I7" s="31">
        <f t="shared" ca="1" si="0"/>
        <v>38</v>
      </c>
      <c r="J7" s="29" t="s">
        <v>113</v>
      </c>
      <c r="K7" s="29" t="s">
        <v>114</v>
      </c>
      <c r="L7" s="32"/>
      <c r="M7" s="29" t="s">
        <v>115</v>
      </c>
      <c r="N7" s="33" t="s">
        <v>229</v>
      </c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0F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23" priority="1" operator="lessThan">
      <formula>0</formula>
    </cfRule>
    <cfRule type="cellIs" dxfId="22" priority="2" operator="between">
      <formula>0</formula>
      <formula>7</formula>
    </cfRule>
    <cfRule type="cellIs" dxfId="21" priority="3" operator="greaterThan">
      <formula>7</formula>
    </cfRule>
  </conditionalFormatting>
  <dataValidations count="3">
    <dataValidation type="list" allowBlank="1" sqref="J6:J47" xr:uid="{00000000-0002-0000-0F00-000000000000}">
      <formula1>"Warm Lead,Confirmed,On Hold,No Answer,New Enquiry,Lost"</formula1>
    </dataValidation>
    <dataValidation type="list" allowBlank="1" sqref="K6:K47" xr:uid="{00000000-0002-0000-0F00-000001000000}">
      <formula1>"High,Medium,Low"</formula1>
    </dataValidation>
    <dataValidation type="list" allowBlank="1" sqref="M6:M47" xr:uid="{00000000-0002-0000-0F00-000002000000}">
      <formula1>"Yes,No,Pending"</formula1>
    </dataValidation>
  </dataValidation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8"/>
  <sheetViews>
    <sheetView workbookViewId="0">
      <selection activeCell="D12" sqref="D12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7.44140625" bestFit="1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70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71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 t="s">
        <v>231</v>
      </c>
      <c r="C6" s="23" t="s">
        <v>232</v>
      </c>
      <c r="D6" s="23" t="s">
        <v>233</v>
      </c>
      <c r="E6" s="23"/>
      <c r="F6" s="23" t="s">
        <v>156</v>
      </c>
      <c r="G6" s="24">
        <v>46134</v>
      </c>
      <c r="H6" s="24"/>
      <c r="I6" s="25" t="str">
        <f t="shared" ref="I6:I47" ca="1" si="0">IF(H6="","–",H6-TODAY())</f>
        <v>–</v>
      </c>
      <c r="J6" s="23"/>
      <c r="K6" s="23"/>
      <c r="L6" s="26"/>
      <c r="M6" s="23"/>
      <c r="N6" s="27" t="s">
        <v>237</v>
      </c>
    </row>
    <row r="7" spans="1:14" ht="22.05" customHeight="1" x14ac:dyDescent="0.3">
      <c r="A7" s="28">
        <v>2</v>
      </c>
      <c r="B7" s="29" t="s">
        <v>234</v>
      </c>
      <c r="C7" s="29" t="s">
        <v>186</v>
      </c>
      <c r="D7" s="29" t="s">
        <v>235</v>
      </c>
      <c r="E7" s="29" t="s">
        <v>236</v>
      </c>
      <c r="F7" s="29" t="s">
        <v>156</v>
      </c>
      <c r="G7" s="30">
        <v>46134</v>
      </c>
      <c r="H7" s="30"/>
      <c r="I7" s="31" t="str">
        <f t="shared" ca="1" si="0"/>
        <v>–</v>
      </c>
      <c r="J7" s="29"/>
      <c r="K7" s="29"/>
      <c r="L7" s="32"/>
      <c r="M7" s="29"/>
      <c r="N7" s="33" t="s">
        <v>238</v>
      </c>
    </row>
    <row r="8" spans="1:14" ht="22.05" customHeight="1" x14ac:dyDescent="0.3">
      <c r="A8" s="22">
        <v>3</v>
      </c>
      <c r="B8" s="23" t="s">
        <v>239</v>
      </c>
      <c r="C8" s="23" t="s">
        <v>240</v>
      </c>
      <c r="D8" s="23" t="s">
        <v>241</v>
      </c>
      <c r="E8" s="23" t="s">
        <v>242</v>
      </c>
      <c r="F8" s="23" t="s">
        <v>156</v>
      </c>
      <c r="G8" s="24">
        <v>46134</v>
      </c>
      <c r="H8" s="24"/>
      <c r="I8" s="25" t="str">
        <f t="shared" ca="1" si="0"/>
        <v>–</v>
      </c>
      <c r="J8" s="23"/>
      <c r="K8" s="23"/>
      <c r="L8" s="26"/>
      <c r="M8" s="23"/>
      <c r="N8" s="27" t="s">
        <v>238</v>
      </c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10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20" priority="1" operator="lessThan">
      <formula>0</formula>
    </cfRule>
    <cfRule type="cellIs" dxfId="19" priority="2" operator="between">
      <formula>0</formula>
      <formula>7</formula>
    </cfRule>
    <cfRule type="cellIs" dxfId="18" priority="3" operator="greaterThan">
      <formula>7</formula>
    </cfRule>
  </conditionalFormatting>
  <dataValidations count="3">
    <dataValidation type="list" allowBlank="1" sqref="J6:J47" xr:uid="{00000000-0002-0000-1000-000000000000}">
      <formula1>"Warm Lead,Confirmed,On Hold,No Answer,New Enquiry,Lost"</formula1>
    </dataValidation>
    <dataValidation type="list" allowBlank="1" sqref="K6:K47" xr:uid="{00000000-0002-0000-1000-000001000000}">
      <formula1>"High,Medium,Low"</formula1>
    </dataValidation>
    <dataValidation type="list" allowBlank="1" sqref="M6:M47" xr:uid="{00000000-0002-0000-1000-000002000000}">
      <formula1>"Yes,No,Pending"</formula1>
    </dataValidation>
  </dataValidation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8"/>
  <sheetViews>
    <sheetView tabSelected="1" topLeftCell="D1" workbookViewId="0">
      <selection activeCell="N9" sqref="N9"/>
    </sheetView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72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73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 t="s">
        <v>243</v>
      </c>
      <c r="C6" s="23" t="s">
        <v>244</v>
      </c>
      <c r="D6" s="23" t="s">
        <v>144</v>
      </c>
      <c r="E6" s="23" t="s">
        <v>245</v>
      </c>
      <c r="F6" s="23" t="s">
        <v>246</v>
      </c>
      <c r="G6" s="24">
        <v>46135</v>
      </c>
      <c r="H6" s="24">
        <v>46140</v>
      </c>
      <c r="I6" s="25">
        <f t="shared" ref="I6:I47" ca="1" si="0">IF(H6="","–",H6-TODAY())</f>
        <v>4</v>
      </c>
      <c r="J6" s="23" t="s">
        <v>113</v>
      </c>
      <c r="K6" s="23" t="s">
        <v>114</v>
      </c>
      <c r="L6" s="26"/>
      <c r="M6" s="23" t="s">
        <v>115</v>
      </c>
      <c r="N6" s="27" t="s">
        <v>247</v>
      </c>
    </row>
    <row r="7" spans="1:14" ht="22.05" customHeight="1" x14ac:dyDescent="0.3">
      <c r="A7" s="28">
        <v>2</v>
      </c>
      <c r="B7" s="29" t="s">
        <v>248</v>
      </c>
      <c r="C7" s="29" t="s">
        <v>249</v>
      </c>
      <c r="D7" s="29" t="s">
        <v>144</v>
      </c>
      <c r="E7" s="29" t="s">
        <v>245</v>
      </c>
      <c r="F7" s="29" t="s">
        <v>246</v>
      </c>
      <c r="G7" s="30">
        <v>46135</v>
      </c>
      <c r="H7" s="30">
        <v>46140</v>
      </c>
      <c r="I7" s="31">
        <f t="shared" ca="1" si="0"/>
        <v>4</v>
      </c>
      <c r="J7" s="29" t="s">
        <v>113</v>
      </c>
      <c r="K7" s="29" t="s">
        <v>114</v>
      </c>
      <c r="L7" s="32"/>
      <c r="M7" s="29" t="s">
        <v>115</v>
      </c>
      <c r="N7" s="33" t="s">
        <v>250</v>
      </c>
    </row>
    <row r="8" spans="1:14" ht="22.05" customHeight="1" x14ac:dyDescent="0.3">
      <c r="A8" s="22">
        <v>3</v>
      </c>
      <c r="B8" s="23" t="s">
        <v>251</v>
      </c>
      <c r="C8" s="23" t="s">
        <v>149</v>
      </c>
      <c r="D8" s="23" t="s">
        <v>252</v>
      </c>
      <c r="E8" s="23" t="s">
        <v>118</v>
      </c>
      <c r="F8" s="23" t="s">
        <v>253</v>
      </c>
      <c r="G8" s="24">
        <v>46135</v>
      </c>
      <c r="H8" s="24">
        <v>46140</v>
      </c>
      <c r="I8" s="25">
        <f t="shared" ca="1" si="0"/>
        <v>4</v>
      </c>
      <c r="J8" s="23" t="s">
        <v>113</v>
      </c>
      <c r="K8" s="23" t="s">
        <v>114</v>
      </c>
      <c r="L8" s="26"/>
      <c r="M8" s="23" t="s">
        <v>115</v>
      </c>
      <c r="N8" s="27" t="s">
        <v>254</v>
      </c>
    </row>
    <row r="9" spans="1:14" ht="22.05" customHeight="1" x14ac:dyDescent="0.3">
      <c r="A9" s="28">
        <v>4</v>
      </c>
      <c r="B9" s="29" t="s">
        <v>255</v>
      </c>
      <c r="C9" s="29" t="s">
        <v>240</v>
      </c>
      <c r="D9" s="29" t="s">
        <v>144</v>
      </c>
      <c r="E9" s="29" t="s">
        <v>245</v>
      </c>
      <c r="F9" s="29" t="s">
        <v>246</v>
      </c>
      <c r="G9" s="30">
        <v>46135</v>
      </c>
      <c r="H9" s="30">
        <v>46140</v>
      </c>
      <c r="I9" s="31">
        <f t="shared" ca="1" si="0"/>
        <v>4</v>
      </c>
      <c r="J9" s="29" t="s">
        <v>13</v>
      </c>
      <c r="K9" s="29" t="s">
        <v>114</v>
      </c>
      <c r="L9" s="32"/>
      <c r="M9" s="29"/>
      <c r="N9" s="33" t="s">
        <v>256</v>
      </c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11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17" priority="1" operator="lessThan">
      <formula>0</formula>
    </cfRule>
    <cfRule type="cellIs" dxfId="16" priority="2" operator="between">
      <formula>0</formula>
      <formula>7</formula>
    </cfRule>
    <cfRule type="cellIs" dxfId="15" priority="3" operator="greaterThan">
      <formula>7</formula>
    </cfRule>
  </conditionalFormatting>
  <dataValidations count="3">
    <dataValidation type="list" allowBlank="1" sqref="J6:J47" xr:uid="{00000000-0002-0000-1100-000000000000}">
      <formula1>"Warm Lead,Confirmed,On Hold,No Answer,New Enquiry,Lost"</formula1>
    </dataValidation>
    <dataValidation type="list" allowBlank="1" sqref="K6:K47" xr:uid="{00000000-0002-0000-1100-000001000000}">
      <formula1>"High,Medium,Low"</formula1>
    </dataValidation>
    <dataValidation type="list" allowBlank="1" sqref="M6:M47" xr:uid="{00000000-0002-0000-1100-000002000000}">
      <formula1>"Yes,No,Pending"</formula1>
    </dataValidation>
  </dataValidation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8"/>
  <sheetViews>
    <sheetView workbookViewId="0"/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74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75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/>
      <c r="C6" s="23"/>
      <c r="D6" s="23"/>
      <c r="E6" s="23"/>
      <c r="F6" s="23"/>
      <c r="G6" s="24"/>
      <c r="H6" s="24"/>
      <c r="I6" s="25" t="str">
        <f t="shared" ref="I6:I47" ca="1" si="0">IF(H6="","–",H6-TODAY())</f>
        <v>–</v>
      </c>
      <c r="J6" s="23"/>
      <c r="K6" s="23"/>
      <c r="L6" s="26"/>
      <c r="M6" s="23"/>
      <c r="N6" s="27"/>
    </row>
    <row r="7" spans="1:14" ht="22.05" customHeight="1" x14ac:dyDescent="0.3">
      <c r="A7" s="28">
        <v>2</v>
      </c>
      <c r="B7" s="29"/>
      <c r="C7" s="29"/>
      <c r="D7" s="29"/>
      <c r="E7" s="29"/>
      <c r="F7" s="29"/>
      <c r="G7" s="30"/>
      <c r="H7" s="30"/>
      <c r="I7" s="31" t="str">
        <f t="shared" ca="1" si="0"/>
        <v>–</v>
      </c>
      <c r="J7" s="29"/>
      <c r="K7" s="29"/>
      <c r="L7" s="32"/>
      <c r="M7" s="29"/>
      <c r="N7" s="33"/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12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14" priority="1" operator="lessThan">
      <formula>0</formula>
    </cfRule>
    <cfRule type="cellIs" dxfId="13" priority="2" operator="between">
      <formula>0</formula>
      <formula>7</formula>
    </cfRule>
    <cfRule type="cellIs" dxfId="12" priority="3" operator="greaterThan">
      <formula>7</formula>
    </cfRule>
  </conditionalFormatting>
  <dataValidations count="3">
    <dataValidation type="list" allowBlank="1" sqref="J6:J47" xr:uid="{00000000-0002-0000-1200-000000000000}">
      <formula1>"Warm Lead,Confirmed,On Hold,No Answer,New Enquiry,Lost"</formula1>
    </dataValidation>
    <dataValidation type="list" allowBlank="1" sqref="K6:K47" xr:uid="{00000000-0002-0000-1200-000001000000}">
      <formula1>"High,Medium,Low"</formula1>
    </dataValidation>
    <dataValidation type="list" allowBlank="1" sqref="M6:M47" xr:uid="{00000000-0002-0000-1200-000002000000}">
      <formula1>"Yes,No,Pending"</formula1>
    </dataValidation>
  </dataValidation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8"/>
  <sheetViews>
    <sheetView workbookViewId="0"/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76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77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/>
      <c r="C6" s="23"/>
      <c r="D6" s="23"/>
      <c r="E6" s="23"/>
      <c r="F6" s="23"/>
      <c r="G6" s="24"/>
      <c r="H6" s="24"/>
      <c r="I6" s="25" t="str">
        <f t="shared" ref="I6:I47" ca="1" si="0">IF(H6="","–",H6-TODAY())</f>
        <v>–</v>
      </c>
      <c r="J6" s="23"/>
      <c r="K6" s="23"/>
      <c r="L6" s="26"/>
      <c r="M6" s="23"/>
      <c r="N6" s="27"/>
    </row>
    <row r="7" spans="1:14" ht="22.05" customHeight="1" x14ac:dyDescent="0.3">
      <c r="A7" s="28">
        <v>2</v>
      </c>
      <c r="B7" s="29"/>
      <c r="C7" s="29"/>
      <c r="D7" s="29"/>
      <c r="E7" s="29"/>
      <c r="F7" s="29"/>
      <c r="G7" s="30"/>
      <c r="H7" s="30"/>
      <c r="I7" s="31" t="str">
        <f t="shared" ca="1" si="0"/>
        <v>–</v>
      </c>
      <c r="J7" s="29"/>
      <c r="K7" s="29"/>
      <c r="L7" s="32"/>
      <c r="M7" s="29"/>
      <c r="N7" s="33"/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13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11" priority="1" operator="lessThan">
      <formula>0</formula>
    </cfRule>
    <cfRule type="cellIs" dxfId="10" priority="2" operator="between">
      <formula>0</formula>
      <formula>7</formula>
    </cfRule>
    <cfRule type="cellIs" dxfId="9" priority="3" operator="greaterThan">
      <formula>7</formula>
    </cfRule>
  </conditionalFormatting>
  <dataValidations count="3">
    <dataValidation type="list" allowBlank="1" sqref="J6:J47" xr:uid="{00000000-0002-0000-1300-000000000000}">
      <formula1>"Warm Lead,Confirmed,On Hold,No Answer,New Enquiry,Lost"</formula1>
    </dataValidation>
    <dataValidation type="list" allowBlank="1" sqref="K6:K47" xr:uid="{00000000-0002-0000-1300-000001000000}">
      <formula1>"High,Medium,Low"</formula1>
    </dataValidation>
    <dataValidation type="list" allowBlank="1" sqref="M6:M47" xr:uid="{00000000-0002-0000-1300-000002000000}">
      <formula1>"Yes,No,Pending"</formula1>
    </dataValidation>
  </dataValidation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8"/>
  <sheetViews>
    <sheetView workbookViewId="0"/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78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79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/>
      <c r="C6" s="23"/>
      <c r="D6" s="23"/>
      <c r="E6" s="23"/>
      <c r="F6" s="23"/>
      <c r="G6" s="24"/>
      <c r="H6" s="24"/>
      <c r="I6" s="25" t="str">
        <f t="shared" ref="I6:I47" ca="1" si="0">IF(H6="","–",H6-TODAY())</f>
        <v>–</v>
      </c>
      <c r="J6" s="23"/>
      <c r="K6" s="23"/>
      <c r="L6" s="26"/>
      <c r="M6" s="23"/>
      <c r="N6" s="27"/>
    </row>
    <row r="7" spans="1:14" ht="22.05" customHeight="1" x14ac:dyDescent="0.3">
      <c r="A7" s="28">
        <v>2</v>
      </c>
      <c r="B7" s="29"/>
      <c r="C7" s="29"/>
      <c r="D7" s="29"/>
      <c r="E7" s="29"/>
      <c r="F7" s="29"/>
      <c r="G7" s="30"/>
      <c r="H7" s="30"/>
      <c r="I7" s="31" t="str">
        <f t="shared" ca="1" si="0"/>
        <v>–</v>
      </c>
      <c r="J7" s="29"/>
      <c r="K7" s="29"/>
      <c r="L7" s="32"/>
      <c r="M7" s="29"/>
      <c r="N7" s="33"/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14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8" priority="1" operator="lessThan">
      <formula>0</formula>
    </cfRule>
    <cfRule type="cellIs" dxfId="7" priority="2" operator="between">
      <formula>0</formula>
      <formula>7</formula>
    </cfRule>
    <cfRule type="cellIs" dxfId="6" priority="3" operator="greaterThan">
      <formula>7</formula>
    </cfRule>
  </conditionalFormatting>
  <dataValidations count="3">
    <dataValidation type="list" allowBlank="1" sqref="J6:J47" xr:uid="{00000000-0002-0000-1400-000000000000}">
      <formula1>"Warm Lead,Confirmed,On Hold,No Answer,New Enquiry,Lost"</formula1>
    </dataValidation>
    <dataValidation type="list" allowBlank="1" sqref="K6:K47" xr:uid="{00000000-0002-0000-1400-000001000000}">
      <formula1>"High,Medium,Low"</formula1>
    </dataValidation>
    <dataValidation type="list" allowBlank="1" sqref="M6:M47" xr:uid="{00000000-0002-0000-1400-000002000000}">
      <formula1>"Yes,No,Pending"</formula1>
    </dataValidation>
  </dataValidation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8"/>
  <sheetViews>
    <sheetView workbookViewId="0"/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80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81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/>
      <c r="C6" s="23"/>
      <c r="D6" s="23"/>
      <c r="E6" s="23"/>
      <c r="F6" s="23"/>
      <c r="G6" s="24"/>
      <c r="H6" s="24"/>
      <c r="I6" s="25" t="str">
        <f t="shared" ref="I6:I47" ca="1" si="0">IF(H6="","–",H6-TODAY())</f>
        <v>–</v>
      </c>
      <c r="J6" s="23"/>
      <c r="K6" s="23"/>
      <c r="L6" s="26"/>
      <c r="M6" s="23"/>
      <c r="N6" s="27"/>
    </row>
    <row r="7" spans="1:14" ht="22.05" customHeight="1" x14ac:dyDescent="0.3">
      <c r="A7" s="28">
        <v>2</v>
      </c>
      <c r="B7" s="29"/>
      <c r="C7" s="29"/>
      <c r="D7" s="29"/>
      <c r="E7" s="29"/>
      <c r="F7" s="29"/>
      <c r="G7" s="30"/>
      <c r="H7" s="30"/>
      <c r="I7" s="31" t="str">
        <f t="shared" ca="1" si="0"/>
        <v>–</v>
      </c>
      <c r="J7" s="29"/>
      <c r="K7" s="29"/>
      <c r="L7" s="32"/>
      <c r="M7" s="29"/>
      <c r="N7" s="33"/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15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5" priority="1" operator="lessThan">
      <formula>0</formula>
    </cfRule>
    <cfRule type="cellIs" dxfId="4" priority="2" operator="between">
      <formula>0</formula>
      <formula>7</formula>
    </cfRule>
    <cfRule type="cellIs" dxfId="3" priority="3" operator="greaterThan">
      <formula>7</formula>
    </cfRule>
  </conditionalFormatting>
  <dataValidations count="3">
    <dataValidation type="list" allowBlank="1" sqref="J6:J47" xr:uid="{00000000-0002-0000-1500-000000000000}">
      <formula1>"Warm Lead,Confirmed,On Hold,No Answer,New Enquiry,Lost"</formula1>
    </dataValidation>
    <dataValidation type="list" allowBlank="1" sqref="K6:K47" xr:uid="{00000000-0002-0000-1500-000001000000}">
      <formula1>"High,Medium,Low"</formula1>
    </dataValidation>
    <dataValidation type="list" allowBlank="1" sqref="M6:M47" xr:uid="{00000000-0002-0000-1500-000002000000}">
      <formula1>"Yes,No,Pending"</formula1>
    </dataValidation>
  </dataValidation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48"/>
  <sheetViews>
    <sheetView workbookViewId="0"/>
  </sheetViews>
  <sheetFormatPr defaultRowHeight="14.4" x14ac:dyDescent="0.3"/>
  <cols>
    <col min="1" max="1" width="4" customWidth="1"/>
    <col min="2" max="2" width="24" customWidth="1"/>
    <col min="3" max="3" width="16" customWidth="1"/>
    <col min="4" max="4" width="26" customWidth="1"/>
    <col min="5" max="5" width="16" customWidth="1"/>
    <col min="6" max="6" width="12" customWidth="1"/>
    <col min="7" max="7" width="15" customWidth="1"/>
    <col min="8" max="8" width="13" customWidth="1"/>
    <col min="9" max="9" width="10" customWidth="1"/>
    <col min="10" max="10" width="18" customWidth="1"/>
    <col min="11" max="11" width="10" customWidth="1"/>
    <col min="12" max="12" width="14" customWidth="1"/>
    <col min="13" max="13" width="12" customWidth="1"/>
    <col min="14" max="14" width="50" customWidth="1"/>
  </cols>
  <sheetData>
    <row r="1" spans="1:14" ht="49.95" customHeight="1" x14ac:dyDescent="0.3">
      <c r="A1" s="46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9.95" customHeight="1" x14ac:dyDescent="0.3">
      <c r="A2" s="50" t="s">
        <v>82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55" t="s">
        <v>83</v>
      </c>
      <c r="M2" s="47"/>
      <c r="N2" s="47"/>
    </row>
    <row r="3" spans="1:14" ht="19.95" customHeight="1" x14ac:dyDescent="0.3">
      <c r="A3" s="52" t="s">
        <v>27</v>
      </c>
      <c r="B3" s="47"/>
      <c r="C3" s="47"/>
      <c r="D3" s="51" t="s">
        <v>28</v>
      </c>
      <c r="E3" s="47"/>
      <c r="F3" s="47"/>
      <c r="G3" s="53" t="s">
        <v>29</v>
      </c>
      <c r="H3" s="47"/>
      <c r="I3" s="47"/>
      <c r="J3" s="56" t="s">
        <v>30</v>
      </c>
      <c r="K3" s="47"/>
      <c r="L3" s="47"/>
      <c r="M3" s="54" t="s">
        <v>31</v>
      </c>
      <c r="N3" s="47"/>
    </row>
    <row r="4" spans="1:14" ht="6" customHeight="1" x14ac:dyDescent="0.3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1.9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16</v>
      </c>
      <c r="M5" s="1" t="s">
        <v>43</v>
      </c>
      <c r="N5" s="1" t="s">
        <v>44</v>
      </c>
    </row>
    <row r="6" spans="1:14" ht="22.05" customHeight="1" x14ac:dyDescent="0.3">
      <c r="A6" s="22">
        <v>1</v>
      </c>
      <c r="B6" s="23"/>
      <c r="C6" s="23"/>
      <c r="D6" s="23"/>
      <c r="E6" s="23"/>
      <c r="F6" s="23"/>
      <c r="G6" s="24"/>
      <c r="H6" s="24"/>
      <c r="I6" s="25" t="str">
        <f t="shared" ref="I6:I47" ca="1" si="0">IF(H6="","–",H6-TODAY())</f>
        <v>–</v>
      </c>
      <c r="J6" s="23"/>
      <c r="K6" s="23"/>
      <c r="L6" s="26"/>
      <c r="M6" s="23"/>
      <c r="N6" s="27"/>
    </row>
    <row r="7" spans="1:14" ht="22.05" customHeight="1" x14ac:dyDescent="0.3">
      <c r="A7" s="28">
        <v>2</v>
      </c>
      <c r="B7" s="29"/>
      <c r="C7" s="29"/>
      <c r="D7" s="29"/>
      <c r="E7" s="29"/>
      <c r="F7" s="29"/>
      <c r="G7" s="30"/>
      <c r="H7" s="30"/>
      <c r="I7" s="31" t="str">
        <f t="shared" ca="1" si="0"/>
        <v>–</v>
      </c>
      <c r="J7" s="29"/>
      <c r="K7" s="29"/>
      <c r="L7" s="32"/>
      <c r="M7" s="29"/>
      <c r="N7" s="33"/>
    </row>
    <row r="8" spans="1:14" ht="22.05" customHeight="1" x14ac:dyDescent="0.3">
      <c r="A8" s="22">
        <v>3</v>
      </c>
      <c r="B8" s="23"/>
      <c r="C8" s="23"/>
      <c r="D8" s="23"/>
      <c r="E8" s="23"/>
      <c r="F8" s="23"/>
      <c r="G8" s="24"/>
      <c r="H8" s="24"/>
      <c r="I8" s="25" t="str">
        <f t="shared" ca="1" si="0"/>
        <v>–</v>
      </c>
      <c r="J8" s="23"/>
      <c r="K8" s="23"/>
      <c r="L8" s="26"/>
      <c r="M8" s="23"/>
      <c r="N8" s="27"/>
    </row>
    <row r="9" spans="1:14" ht="22.05" customHeight="1" x14ac:dyDescent="0.3">
      <c r="A9" s="28">
        <v>4</v>
      </c>
      <c r="B9" s="29"/>
      <c r="C9" s="29"/>
      <c r="D9" s="29"/>
      <c r="E9" s="29"/>
      <c r="F9" s="29"/>
      <c r="G9" s="30"/>
      <c r="H9" s="30"/>
      <c r="I9" s="31" t="str">
        <f t="shared" ca="1" si="0"/>
        <v>–</v>
      </c>
      <c r="J9" s="29"/>
      <c r="K9" s="29"/>
      <c r="L9" s="32"/>
      <c r="M9" s="29"/>
      <c r="N9" s="33"/>
    </row>
    <row r="10" spans="1:14" ht="22.05" customHeight="1" x14ac:dyDescent="0.3">
      <c r="A10" s="22">
        <v>5</v>
      </c>
      <c r="B10" s="23"/>
      <c r="C10" s="23"/>
      <c r="D10" s="23"/>
      <c r="E10" s="23"/>
      <c r="F10" s="23"/>
      <c r="G10" s="24"/>
      <c r="H10" s="24"/>
      <c r="I10" s="25" t="str">
        <f t="shared" ca="1" si="0"/>
        <v>–</v>
      </c>
      <c r="J10" s="23"/>
      <c r="K10" s="23"/>
      <c r="L10" s="26"/>
      <c r="M10" s="23"/>
      <c r="N10" s="27"/>
    </row>
    <row r="11" spans="1:14" ht="22.05" customHeight="1" x14ac:dyDescent="0.3">
      <c r="A11" s="28">
        <v>6</v>
      </c>
      <c r="B11" s="29"/>
      <c r="C11" s="29"/>
      <c r="D11" s="29"/>
      <c r="E11" s="29"/>
      <c r="F11" s="29"/>
      <c r="G11" s="30"/>
      <c r="H11" s="30"/>
      <c r="I11" s="31" t="str">
        <f t="shared" ca="1" si="0"/>
        <v>–</v>
      </c>
      <c r="J11" s="29"/>
      <c r="K11" s="29"/>
      <c r="L11" s="32"/>
      <c r="M11" s="29"/>
      <c r="N11" s="33"/>
    </row>
    <row r="12" spans="1:14" ht="22.05" customHeight="1" x14ac:dyDescent="0.3">
      <c r="A12" s="22">
        <v>7</v>
      </c>
      <c r="B12" s="23"/>
      <c r="C12" s="23"/>
      <c r="D12" s="23"/>
      <c r="E12" s="23"/>
      <c r="F12" s="23"/>
      <c r="G12" s="24"/>
      <c r="H12" s="24"/>
      <c r="I12" s="25" t="str">
        <f t="shared" ca="1" si="0"/>
        <v>–</v>
      </c>
      <c r="J12" s="23"/>
      <c r="K12" s="23"/>
      <c r="L12" s="26"/>
      <c r="M12" s="23"/>
      <c r="N12" s="27"/>
    </row>
    <row r="13" spans="1:14" ht="22.05" customHeight="1" x14ac:dyDescent="0.3">
      <c r="A13" s="28">
        <v>8</v>
      </c>
      <c r="B13" s="29"/>
      <c r="C13" s="29"/>
      <c r="D13" s="29"/>
      <c r="E13" s="29"/>
      <c r="F13" s="29"/>
      <c r="G13" s="30"/>
      <c r="H13" s="30"/>
      <c r="I13" s="31" t="str">
        <f t="shared" ca="1" si="0"/>
        <v>–</v>
      </c>
      <c r="J13" s="29"/>
      <c r="K13" s="29"/>
      <c r="L13" s="32"/>
      <c r="M13" s="29"/>
      <c r="N13" s="33"/>
    </row>
    <row r="14" spans="1:14" ht="22.05" customHeight="1" x14ac:dyDescent="0.3">
      <c r="A14" s="22">
        <v>9</v>
      </c>
      <c r="B14" s="23"/>
      <c r="C14" s="23"/>
      <c r="D14" s="23"/>
      <c r="E14" s="23"/>
      <c r="F14" s="23"/>
      <c r="G14" s="24"/>
      <c r="H14" s="24"/>
      <c r="I14" s="25" t="str">
        <f t="shared" ca="1" si="0"/>
        <v>–</v>
      </c>
      <c r="J14" s="23"/>
      <c r="K14" s="23"/>
      <c r="L14" s="26"/>
      <c r="M14" s="23"/>
      <c r="N14" s="27"/>
    </row>
    <row r="15" spans="1:14" ht="22.05" customHeight="1" x14ac:dyDescent="0.3">
      <c r="A15" s="28">
        <v>10</v>
      </c>
      <c r="B15" s="29"/>
      <c r="C15" s="29"/>
      <c r="D15" s="29"/>
      <c r="E15" s="29"/>
      <c r="F15" s="29"/>
      <c r="G15" s="30"/>
      <c r="H15" s="30"/>
      <c r="I15" s="31" t="str">
        <f t="shared" ca="1" si="0"/>
        <v>–</v>
      </c>
      <c r="J15" s="29"/>
      <c r="K15" s="29"/>
      <c r="L15" s="32"/>
      <c r="M15" s="29"/>
      <c r="N15" s="33"/>
    </row>
    <row r="16" spans="1:14" ht="22.05" customHeight="1" x14ac:dyDescent="0.3">
      <c r="A16" s="22">
        <v>11</v>
      </c>
      <c r="B16" s="23"/>
      <c r="C16" s="23"/>
      <c r="D16" s="23"/>
      <c r="E16" s="23"/>
      <c r="F16" s="23"/>
      <c r="G16" s="24"/>
      <c r="H16" s="24"/>
      <c r="I16" s="25" t="str">
        <f t="shared" ca="1" si="0"/>
        <v>–</v>
      </c>
      <c r="J16" s="23"/>
      <c r="K16" s="23"/>
      <c r="L16" s="26"/>
      <c r="M16" s="23"/>
      <c r="N16" s="27"/>
    </row>
    <row r="17" spans="1:14" ht="22.05" customHeight="1" x14ac:dyDescent="0.3">
      <c r="A17" s="28">
        <v>12</v>
      </c>
      <c r="B17" s="29"/>
      <c r="C17" s="29"/>
      <c r="D17" s="29"/>
      <c r="E17" s="29"/>
      <c r="F17" s="29"/>
      <c r="G17" s="30"/>
      <c r="H17" s="30"/>
      <c r="I17" s="31" t="str">
        <f t="shared" ca="1" si="0"/>
        <v>–</v>
      </c>
      <c r="J17" s="29"/>
      <c r="K17" s="29"/>
      <c r="L17" s="32"/>
      <c r="M17" s="29"/>
      <c r="N17" s="33"/>
    </row>
    <row r="18" spans="1:14" ht="22.05" customHeight="1" x14ac:dyDescent="0.3">
      <c r="A18" s="22">
        <v>13</v>
      </c>
      <c r="B18" s="23"/>
      <c r="C18" s="23"/>
      <c r="D18" s="23"/>
      <c r="E18" s="23"/>
      <c r="F18" s="23"/>
      <c r="G18" s="24"/>
      <c r="H18" s="24"/>
      <c r="I18" s="25" t="str">
        <f t="shared" ca="1" si="0"/>
        <v>–</v>
      </c>
      <c r="J18" s="23"/>
      <c r="K18" s="23"/>
      <c r="L18" s="26"/>
      <c r="M18" s="23"/>
      <c r="N18" s="27"/>
    </row>
    <row r="19" spans="1:14" ht="22.05" customHeight="1" x14ac:dyDescent="0.3">
      <c r="A19" s="28">
        <v>14</v>
      </c>
      <c r="B19" s="29"/>
      <c r="C19" s="29"/>
      <c r="D19" s="29"/>
      <c r="E19" s="29"/>
      <c r="F19" s="29"/>
      <c r="G19" s="30"/>
      <c r="H19" s="30"/>
      <c r="I19" s="31" t="str">
        <f t="shared" ca="1" si="0"/>
        <v>–</v>
      </c>
      <c r="J19" s="29"/>
      <c r="K19" s="29"/>
      <c r="L19" s="32"/>
      <c r="M19" s="29"/>
      <c r="N19" s="33"/>
    </row>
    <row r="20" spans="1:14" ht="22.05" customHeight="1" x14ac:dyDescent="0.3">
      <c r="A20" s="22">
        <v>15</v>
      </c>
      <c r="B20" s="23"/>
      <c r="C20" s="23"/>
      <c r="D20" s="23"/>
      <c r="E20" s="23"/>
      <c r="F20" s="23"/>
      <c r="G20" s="24"/>
      <c r="H20" s="24"/>
      <c r="I20" s="25" t="str">
        <f t="shared" ca="1" si="0"/>
        <v>–</v>
      </c>
      <c r="J20" s="23"/>
      <c r="K20" s="23"/>
      <c r="L20" s="26"/>
      <c r="M20" s="23"/>
      <c r="N20" s="27"/>
    </row>
    <row r="21" spans="1:14" ht="22.05" customHeight="1" x14ac:dyDescent="0.3">
      <c r="A21" s="28">
        <v>16</v>
      </c>
      <c r="B21" s="29"/>
      <c r="C21" s="29"/>
      <c r="D21" s="29"/>
      <c r="E21" s="29"/>
      <c r="F21" s="29"/>
      <c r="G21" s="30"/>
      <c r="H21" s="30"/>
      <c r="I21" s="31" t="str">
        <f t="shared" ca="1" si="0"/>
        <v>–</v>
      </c>
      <c r="J21" s="29"/>
      <c r="K21" s="29"/>
      <c r="L21" s="32"/>
      <c r="M21" s="29"/>
      <c r="N21" s="33"/>
    </row>
    <row r="22" spans="1:14" ht="22.05" customHeight="1" x14ac:dyDescent="0.3">
      <c r="A22" s="22">
        <v>17</v>
      </c>
      <c r="B22" s="23"/>
      <c r="C22" s="23"/>
      <c r="D22" s="23"/>
      <c r="E22" s="23"/>
      <c r="F22" s="23"/>
      <c r="G22" s="24"/>
      <c r="H22" s="24"/>
      <c r="I22" s="25" t="str">
        <f t="shared" ca="1" si="0"/>
        <v>–</v>
      </c>
      <c r="J22" s="23"/>
      <c r="K22" s="23"/>
      <c r="L22" s="26"/>
      <c r="M22" s="23"/>
      <c r="N22" s="27"/>
    </row>
    <row r="23" spans="1:14" ht="22.05" customHeight="1" x14ac:dyDescent="0.3">
      <c r="A23" s="28">
        <v>18</v>
      </c>
      <c r="B23" s="29"/>
      <c r="C23" s="29"/>
      <c r="D23" s="29"/>
      <c r="E23" s="29"/>
      <c r="F23" s="29"/>
      <c r="G23" s="30"/>
      <c r="H23" s="30"/>
      <c r="I23" s="31" t="str">
        <f t="shared" ca="1" si="0"/>
        <v>–</v>
      </c>
      <c r="J23" s="29"/>
      <c r="K23" s="29"/>
      <c r="L23" s="32"/>
      <c r="M23" s="29"/>
      <c r="N23" s="33"/>
    </row>
    <row r="24" spans="1:14" ht="22.05" customHeight="1" x14ac:dyDescent="0.3">
      <c r="A24" s="22">
        <v>19</v>
      </c>
      <c r="B24" s="23"/>
      <c r="C24" s="23"/>
      <c r="D24" s="23"/>
      <c r="E24" s="23"/>
      <c r="F24" s="23"/>
      <c r="G24" s="24"/>
      <c r="H24" s="24"/>
      <c r="I24" s="25" t="str">
        <f t="shared" ca="1" si="0"/>
        <v>–</v>
      </c>
      <c r="J24" s="23"/>
      <c r="K24" s="23"/>
      <c r="L24" s="26"/>
      <c r="M24" s="23"/>
      <c r="N24" s="27"/>
    </row>
    <row r="25" spans="1:14" ht="22.05" customHeight="1" x14ac:dyDescent="0.3">
      <c r="A25" s="28">
        <v>20</v>
      </c>
      <c r="B25" s="29"/>
      <c r="C25" s="29"/>
      <c r="D25" s="29"/>
      <c r="E25" s="29"/>
      <c r="F25" s="29"/>
      <c r="G25" s="30"/>
      <c r="H25" s="30"/>
      <c r="I25" s="31" t="str">
        <f t="shared" ca="1" si="0"/>
        <v>–</v>
      </c>
      <c r="J25" s="29"/>
      <c r="K25" s="29"/>
      <c r="L25" s="32"/>
      <c r="M25" s="29"/>
      <c r="N25" s="33"/>
    </row>
    <row r="26" spans="1:14" ht="22.05" customHeight="1" x14ac:dyDescent="0.3">
      <c r="A26" s="22">
        <v>21</v>
      </c>
      <c r="B26" s="23"/>
      <c r="C26" s="23"/>
      <c r="D26" s="23"/>
      <c r="E26" s="23"/>
      <c r="F26" s="23"/>
      <c r="G26" s="24"/>
      <c r="H26" s="24"/>
      <c r="I26" s="25" t="str">
        <f t="shared" ca="1" si="0"/>
        <v>–</v>
      </c>
      <c r="J26" s="23"/>
      <c r="K26" s="23"/>
      <c r="L26" s="26"/>
      <c r="M26" s="23"/>
      <c r="N26" s="27"/>
    </row>
    <row r="27" spans="1:14" ht="22.05" customHeight="1" x14ac:dyDescent="0.3">
      <c r="A27" s="28">
        <v>22</v>
      </c>
      <c r="B27" s="29"/>
      <c r="C27" s="29"/>
      <c r="D27" s="29"/>
      <c r="E27" s="29"/>
      <c r="F27" s="29"/>
      <c r="G27" s="30"/>
      <c r="H27" s="30"/>
      <c r="I27" s="31" t="str">
        <f t="shared" ca="1" si="0"/>
        <v>–</v>
      </c>
      <c r="J27" s="29"/>
      <c r="K27" s="29"/>
      <c r="L27" s="32"/>
      <c r="M27" s="29"/>
      <c r="N27" s="33"/>
    </row>
    <row r="28" spans="1:14" ht="22.05" customHeight="1" x14ac:dyDescent="0.3">
      <c r="A28" s="22">
        <v>23</v>
      </c>
      <c r="B28" s="23"/>
      <c r="C28" s="23"/>
      <c r="D28" s="23"/>
      <c r="E28" s="23"/>
      <c r="F28" s="23"/>
      <c r="G28" s="24"/>
      <c r="H28" s="24"/>
      <c r="I28" s="25" t="str">
        <f t="shared" ca="1" si="0"/>
        <v>–</v>
      </c>
      <c r="J28" s="23"/>
      <c r="K28" s="23"/>
      <c r="L28" s="26"/>
      <c r="M28" s="23"/>
      <c r="N28" s="27"/>
    </row>
    <row r="29" spans="1:14" ht="22.05" customHeight="1" x14ac:dyDescent="0.3">
      <c r="A29" s="28">
        <v>24</v>
      </c>
      <c r="B29" s="29"/>
      <c r="C29" s="29"/>
      <c r="D29" s="29"/>
      <c r="E29" s="29"/>
      <c r="F29" s="29"/>
      <c r="G29" s="30"/>
      <c r="H29" s="30"/>
      <c r="I29" s="31" t="str">
        <f t="shared" ca="1" si="0"/>
        <v>–</v>
      </c>
      <c r="J29" s="29"/>
      <c r="K29" s="29"/>
      <c r="L29" s="32"/>
      <c r="M29" s="29"/>
      <c r="N29" s="33"/>
    </row>
    <row r="30" spans="1:14" ht="22.05" customHeight="1" x14ac:dyDescent="0.3">
      <c r="A30" s="22">
        <v>25</v>
      </c>
      <c r="B30" s="23"/>
      <c r="C30" s="23"/>
      <c r="D30" s="23"/>
      <c r="E30" s="23"/>
      <c r="F30" s="23"/>
      <c r="G30" s="24"/>
      <c r="H30" s="24"/>
      <c r="I30" s="25" t="str">
        <f t="shared" ca="1" si="0"/>
        <v>–</v>
      </c>
      <c r="J30" s="23"/>
      <c r="K30" s="23"/>
      <c r="L30" s="26"/>
      <c r="M30" s="23"/>
      <c r="N30" s="27"/>
    </row>
    <row r="31" spans="1:14" ht="22.05" customHeight="1" x14ac:dyDescent="0.3">
      <c r="A31" s="28">
        <v>26</v>
      </c>
      <c r="B31" s="29"/>
      <c r="C31" s="29"/>
      <c r="D31" s="29"/>
      <c r="E31" s="29"/>
      <c r="F31" s="29"/>
      <c r="G31" s="30"/>
      <c r="H31" s="30"/>
      <c r="I31" s="31" t="str">
        <f t="shared" ca="1" si="0"/>
        <v>–</v>
      </c>
      <c r="J31" s="29"/>
      <c r="K31" s="29"/>
      <c r="L31" s="32"/>
      <c r="M31" s="29"/>
      <c r="N31" s="33"/>
    </row>
    <row r="32" spans="1:14" ht="22.05" customHeight="1" x14ac:dyDescent="0.3">
      <c r="A32" s="22">
        <v>27</v>
      </c>
      <c r="B32" s="23"/>
      <c r="C32" s="23"/>
      <c r="D32" s="23"/>
      <c r="E32" s="23"/>
      <c r="F32" s="23"/>
      <c r="G32" s="24"/>
      <c r="H32" s="24"/>
      <c r="I32" s="25" t="str">
        <f t="shared" ca="1" si="0"/>
        <v>–</v>
      </c>
      <c r="J32" s="23"/>
      <c r="K32" s="23"/>
      <c r="L32" s="26"/>
      <c r="M32" s="23"/>
      <c r="N32" s="27"/>
    </row>
    <row r="33" spans="1:14" ht="22.05" customHeight="1" x14ac:dyDescent="0.3">
      <c r="A33" s="28">
        <v>28</v>
      </c>
      <c r="B33" s="29"/>
      <c r="C33" s="29"/>
      <c r="D33" s="29"/>
      <c r="E33" s="29"/>
      <c r="F33" s="29"/>
      <c r="G33" s="30"/>
      <c r="H33" s="30"/>
      <c r="I33" s="31" t="str">
        <f t="shared" ca="1" si="0"/>
        <v>–</v>
      </c>
      <c r="J33" s="29"/>
      <c r="K33" s="29"/>
      <c r="L33" s="32"/>
      <c r="M33" s="29"/>
      <c r="N33" s="33"/>
    </row>
    <row r="34" spans="1:14" ht="22.05" customHeight="1" x14ac:dyDescent="0.3">
      <c r="A34" s="22">
        <v>29</v>
      </c>
      <c r="B34" s="23"/>
      <c r="C34" s="23"/>
      <c r="D34" s="23"/>
      <c r="E34" s="23"/>
      <c r="F34" s="23"/>
      <c r="G34" s="24"/>
      <c r="H34" s="24"/>
      <c r="I34" s="25" t="str">
        <f t="shared" ca="1" si="0"/>
        <v>–</v>
      </c>
      <c r="J34" s="23"/>
      <c r="K34" s="23"/>
      <c r="L34" s="26"/>
      <c r="M34" s="23"/>
      <c r="N34" s="27"/>
    </row>
    <row r="35" spans="1:14" ht="22.05" customHeight="1" x14ac:dyDescent="0.3">
      <c r="A35" s="28">
        <v>30</v>
      </c>
      <c r="B35" s="29"/>
      <c r="C35" s="29"/>
      <c r="D35" s="29"/>
      <c r="E35" s="29"/>
      <c r="F35" s="29"/>
      <c r="G35" s="30"/>
      <c r="H35" s="30"/>
      <c r="I35" s="31" t="str">
        <f t="shared" ca="1" si="0"/>
        <v>–</v>
      </c>
      <c r="J35" s="29"/>
      <c r="K35" s="29"/>
      <c r="L35" s="32"/>
      <c r="M35" s="29"/>
      <c r="N35" s="33"/>
    </row>
    <row r="36" spans="1:14" ht="22.05" customHeight="1" x14ac:dyDescent="0.3">
      <c r="A36" s="22">
        <v>31</v>
      </c>
      <c r="B36" s="23"/>
      <c r="C36" s="23"/>
      <c r="D36" s="23"/>
      <c r="E36" s="23"/>
      <c r="F36" s="23"/>
      <c r="G36" s="24"/>
      <c r="H36" s="24"/>
      <c r="I36" s="25" t="str">
        <f t="shared" ca="1" si="0"/>
        <v>–</v>
      </c>
      <c r="J36" s="23"/>
      <c r="K36" s="23"/>
      <c r="L36" s="26"/>
      <c r="M36" s="23"/>
      <c r="N36" s="27"/>
    </row>
    <row r="37" spans="1:14" ht="22.05" customHeight="1" x14ac:dyDescent="0.3">
      <c r="A37" s="28">
        <v>32</v>
      </c>
      <c r="B37" s="29"/>
      <c r="C37" s="29"/>
      <c r="D37" s="29"/>
      <c r="E37" s="29"/>
      <c r="F37" s="29"/>
      <c r="G37" s="30"/>
      <c r="H37" s="30"/>
      <c r="I37" s="31" t="str">
        <f t="shared" ca="1" si="0"/>
        <v>–</v>
      </c>
      <c r="J37" s="29"/>
      <c r="K37" s="29"/>
      <c r="L37" s="32"/>
      <c r="M37" s="29"/>
      <c r="N37" s="33"/>
    </row>
    <row r="38" spans="1:14" ht="22.05" customHeight="1" x14ac:dyDescent="0.3">
      <c r="A38" s="22">
        <v>33</v>
      </c>
      <c r="B38" s="23"/>
      <c r="C38" s="23"/>
      <c r="D38" s="23"/>
      <c r="E38" s="23"/>
      <c r="F38" s="23"/>
      <c r="G38" s="24"/>
      <c r="H38" s="24"/>
      <c r="I38" s="25" t="str">
        <f t="shared" ca="1" si="0"/>
        <v>–</v>
      </c>
      <c r="J38" s="23"/>
      <c r="K38" s="23"/>
      <c r="L38" s="26"/>
      <c r="M38" s="23"/>
      <c r="N38" s="27"/>
    </row>
    <row r="39" spans="1:14" ht="22.05" customHeight="1" x14ac:dyDescent="0.3">
      <c r="A39" s="28">
        <v>34</v>
      </c>
      <c r="B39" s="29"/>
      <c r="C39" s="29"/>
      <c r="D39" s="29"/>
      <c r="E39" s="29"/>
      <c r="F39" s="29"/>
      <c r="G39" s="30"/>
      <c r="H39" s="30"/>
      <c r="I39" s="31" t="str">
        <f t="shared" ca="1" si="0"/>
        <v>–</v>
      </c>
      <c r="J39" s="29"/>
      <c r="K39" s="29"/>
      <c r="L39" s="32"/>
      <c r="M39" s="29"/>
      <c r="N39" s="33"/>
    </row>
    <row r="40" spans="1:14" ht="22.05" customHeight="1" x14ac:dyDescent="0.3">
      <c r="A40" s="22">
        <v>35</v>
      </c>
      <c r="B40" s="23"/>
      <c r="C40" s="23"/>
      <c r="D40" s="23"/>
      <c r="E40" s="23"/>
      <c r="F40" s="23"/>
      <c r="G40" s="24"/>
      <c r="H40" s="24"/>
      <c r="I40" s="25" t="str">
        <f t="shared" ca="1" si="0"/>
        <v>–</v>
      </c>
      <c r="J40" s="23"/>
      <c r="K40" s="23"/>
      <c r="L40" s="26"/>
      <c r="M40" s="23"/>
      <c r="N40" s="27"/>
    </row>
    <row r="41" spans="1:14" ht="22.05" customHeight="1" x14ac:dyDescent="0.3">
      <c r="A41" s="28">
        <v>36</v>
      </c>
      <c r="B41" s="29"/>
      <c r="C41" s="29"/>
      <c r="D41" s="29"/>
      <c r="E41" s="29"/>
      <c r="F41" s="29"/>
      <c r="G41" s="30"/>
      <c r="H41" s="30"/>
      <c r="I41" s="31" t="str">
        <f t="shared" ca="1" si="0"/>
        <v>–</v>
      </c>
      <c r="J41" s="29"/>
      <c r="K41" s="29"/>
      <c r="L41" s="32"/>
      <c r="M41" s="29"/>
      <c r="N41" s="33"/>
    </row>
    <row r="42" spans="1:14" ht="22.05" customHeight="1" x14ac:dyDescent="0.3">
      <c r="A42" s="22">
        <v>37</v>
      </c>
      <c r="B42" s="23"/>
      <c r="C42" s="23"/>
      <c r="D42" s="23"/>
      <c r="E42" s="23"/>
      <c r="F42" s="23"/>
      <c r="G42" s="24"/>
      <c r="H42" s="24"/>
      <c r="I42" s="25" t="str">
        <f t="shared" ca="1" si="0"/>
        <v>–</v>
      </c>
      <c r="J42" s="23"/>
      <c r="K42" s="23"/>
      <c r="L42" s="26"/>
      <c r="M42" s="23"/>
      <c r="N42" s="27"/>
    </row>
    <row r="43" spans="1:14" ht="22.05" customHeight="1" x14ac:dyDescent="0.3">
      <c r="A43" s="28">
        <v>38</v>
      </c>
      <c r="B43" s="29"/>
      <c r="C43" s="29"/>
      <c r="D43" s="29"/>
      <c r="E43" s="29"/>
      <c r="F43" s="29"/>
      <c r="G43" s="30"/>
      <c r="H43" s="30"/>
      <c r="I43" s="31" t="str">
        <f t="shared" ca="1" si="0"/>
        <v>–</v>
      </c>
      <c r="J43" s="29"/>
      <c r="K43" s="29"/>
      <c r="L43" s="32"/>
      <c r="M43" s="29"/>
      <c r="N43" s="33"/>
    </row>
    <row r="44" spans="1:14" ht="22.05" customHeight="1" x14ac:dyDescent="0.3">
      <c r="A44" s="22">
        <v>39</v>
      </c>
      <c r="B44" s="23"/>
      <c r="C44" s="23"/>
      <c r="D44" s="23"/>
      <c r="E44" s="23"/>
      <c r="F44" s="23"/>
      <c r="G44" s="24"/>
      <c r="H44" s="24"/>
      <c r="I44" s="25" t="str">
        <f t="shared" ca="1" si="0"/>
        <v>–</v>
      </c>
      <c r="J44" s="23"/>
      <c r="K44" s="23"/>
      <c r="L44" s="26"/>
      <c r="M44" s="23"/>
      <c r="N44" s="27"/>
    </row>
    <row r="45" spans="1:14" ht="22.05" customHeight="1" x14ac:dyDescent="0.3">
      <c r="A45" s="28">
        <v>40</v>
      </c>
      <c r="B45" s="29"/>
      <c r="C45" s="29"/>
      <c r="D45" s="29"/>
      <c r="E45" s="29"/>
      <c r="F45" s="29"/>
      <c r="G45" s="30"/>
      <c r="H45" s="30"/>
      <c r="I45" s="31" t="str">
        <f t="shared" ca="1" si="0"/>
        <v>–</v>
      </c>
      <c r="J45" s="29"/>
      <c r="K45" s="29"/>
      <c r="L45" s="32"/>
      <c r="M45" s="29"/>
      <c r="N45" s="33"/>
    </row>
    <row r="46" spans="1:14" ht="22.05" customHeight="1" x14ac:dyDescent="0.3">
      <c r="A46" s="22">
        <v>41</v>
      </c>
      <c r="B46" s="23"/>
      <c r="C46" s="23"/>
      <c r="D46" s="23"/>
      <c r="E46" s="23"/>
      <c r="F46" s="23"/>
      <c r="G46" s="24"/>
      <c r="H46" s="24"/>
      <c r="I46" s="25" t="str">
        <f t="shared" ca="1" si="0"/>
        <v>–</v>
      </c>
      <c r="J46" s="23"/>
      <c r="K46" s="23"/>
      <c r="L46" s="26"/>
      <c r="M46" s="23"/>
      <c r="N46" s="27"/>
    </row>
    <row r="47" spans="1:14" ht="22.05" customHeight="1" x14ac:dyDescent="0.3">
      <c r="A47" s="28">
        <v>42</v>
      </c>
      <c r="B47" s="29"/>
      <c r="C47" s="29"/>
      <c r="D47" s="29"/>
      <c r="E47" s="29"/>
      <c r="F47" s="29"/>
      <c r="G47" s="30"/>
      <c r="H47" s="30"/>
      <c r="I47" s="31" t="str">
        <f t="shared" ca="1" si="0"/>
        <v>–</v>
      </c>
      <c r="J47" s="29"/>
      <c r="K47" s="29"/>
      <c r="L47" s="32"/>
      <c r="M47" s="29"/>
      <c r="N47" s="33"/>
    </row>
    <row r="48" spans="1:14" ht="18" customHeight="1" x14ac:dyDescent="0.3">
      <c r="A48" s="49" t="s">
        <v>45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</sheetData>
  <autoFilter ref="A5:N5" xr:uid="{00000000-0009-0000-0000-000016000000}"/>
  <mergeCells count="10">
    <mergeCell ref="A1:N1"/>
    <mergeCell ref="A4:N4"/>
    <mergeCell ref="A48:N48"/>
    <mergeCell ref="A2:K2"/>
    <mergeCell ref="D3:F3"/>
    <mergeCell ref="A3:C3"/>
    <mergeCell ref="G3:I3"/>
    <mergeCell ref="M3:N3"/>
    <mergeCell ref="L2:N2"/>
    <mergeCell ref="J3:L3"/>
  </mergeCells>
  <conditionalFormatting sqref="I6:I47">
    <cfRule type="cellIs" dxfId="2" priority="1" operator="lessThan">
      <formula>0</formula>
    </cfRule>
    <cfRule type="cellIs" dxfId="1" priority="2" operator="between">
      <formula>0</formula>
      <formula>7</formula>
    </cfRule>
    <cfRule type="cellIs" dxfId="0" priority="3" operator="greaterThan">
      <formula>7</formula>
    </cfRule>
  </conditionalFormatting>
  <dataValidations count="3">
    <dataValidation type="list" allowBlank="1" sqref="J6:J47" xr:uid="{00000000-0002-0000-1600-000000000000}">
      <formula1>"Warm Lead,Confirmed,On Hold,No Answer,New Enquiry,Lost"</formula1>
    </dataValidation>
    <dataValidation type="list" allowBlank="1" sqref="K6:K47" xr:uid="{00000000-0002-0000-1600-000001000000}">
      <formula1>"High,Medium,Low"</formula1>
    </dataValidation>
    <dataValidation type="list" allowBlank="1" sqref="M6:M47" xr:uid="{00000000-0002-0000-1600-000002000000}">
      <formula1>"Yes,No,Pending"</formula1>
    </dataValidation>
  </dataValidation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4"/>
  <sheetViews>
    <sheetView workbookViewId="0"/>
  </sheetViews>
  <sheetFormatPr defaultRowHeight="14.4" x14ac:dyDescent="0.3"/>
  <cols>
    <col min="1" max="1" width="3" customWidth="1"/>
    <col min="2" max="2" width="24" customWidth="1"/>
    <col min="3" max="3" width="55" customWidth="1"/>
  </cols>
  <sheetData>
    <row r="1" spans="1:3" ht="49.95" customHeight="1" x14ac:dyDescent="0.3">
      <c r="A1" s="46" t="s">
        <v>84</v>
      </c>
      <c r="B1" s="47"/>
      <c r="C1" s="47"/>
    </row>
    <row r="2" spans="1:3" ht="6" customHeight="1" x14ac:dyDescent="0.3">
      <c r="A2" s="48"/>
      <c r="B2" s="47"/>
      <c r="C2" s="47"/>
    </row>
    <row r="3" spans="1:3" ht="24" customHeight="1" x14ac:dyDescent="0.3">
      <c r="B3" s="34" t="s">
        <v>85</v>
      </c>
      <c r="C3" s="34" t="s">
        <v>86</v>
      </c>
    </row>
    <row r="4" spans="1:3" ht="19.95" customHeight="1" x14ac:dyDescent="0.3">
      <c r="B4" s="35" t="s">
        <v>32</v>
      </c>
      <c r="C4" s="27" t="s">
        <v>87</v>
      </c>
    </row>
    <row r="5" spans="1:3" ht="19.95" customHeight="1" x14ac:dyDescent="0.3">
      <c r="B5" s="36" t="s">
        <v>33</v>
      </c>
      <c r="C5" s="33" t="s">
        <v>88</v>
      </c>
    </row>
    <row r="6" spans="1:3" ht="19.95" customHeight="1" x14ac:dyDescent="0.3">
      <c r="B6" s="35" t="s">
        <v>34</v>
      </c>
      <c r="C6" s="27" t="s">
        <v>89</v>
      </c>
    </row>
    <row r="7" spans="1:3" ht="19.95" customHeight="1" x14ac:dyDescent="0.3">
      <c r="B7" s="36" t="s">
        <v>35</v>
      </c>
      <c r="C7" s="33" t="s">
        <v>90</v>
      </c>
    </row>
    <row r="8" spans="1:3" ht="19.95" customHeight="1" x14ac:dyDescent="0.3">
      <c r="B8" s="35" t="s">
        <v>36</v>
      </c>
      <c r="C8" s="27" t="s">
        <v>91</v>
      </c>
    </row>
    <row r="9" spans="1:3" ht="19.95" customHeight="1" x14ac:dyDescent="0.3">
      <c r="B9" s="36" t="s">
        <v>37</v>
      </c>
      <c r="C9" s="33" t="s">
        <v>92</v>
      </c>
    </row>
    <row r="10" spans="1:3" ht="19.95" customHeight="1" x14ac:dyDescent="0.3">
      <c r="B10" s="35" t="s">
        <v>38</v>
      </c>
      <c r="C10" s="27" t="s">
        <v>93</v>
      </c>
    </row>
    <row r="11" spans="1:3" ht="19.95" customHeight="1" x14ac:dyDescent="0.3">
      <c r="B11" s="36" t="s">
        <v>39</v>
      </c>
      <c r="C11" s="33" t="s">
        <v>94</v>
      </c>
    </row>
    <row r="12" spans="1:3" ht="19.95" customHeight="1" x14ac:dyDescent="0.3">
      <c r="B12" s="35" t="s">
        <v>95</v>
      </c>
      <c r="C12" s="27" t="s">
        <v>96</v>
      </c>
    </row>
    <row r="13" spans="1:3" ht="19.95" customHeight="1" x14ac:dyDescent="0.3">
      <c r="B13" s="36" t="s">
        <v>41</v>
      </c>
      <c r="C13" s="33" t="s">
        <v>97</v>
      </c>
    </row>
    <row r="14" spans="1:3" ht="19.95" customHeight="1" x14ac:dyDescent="0.3">
      <c r="B14" s="35" t="s">
        <v>42</v>
      </c>
      <c r="C14" s="27" t="s">
        <v>98</v>
      </c>
    </row>
    <row r="15" spans="1:3" ht="19.95" customHeight="1" x14ac:dyDescent="0.3">
      <c r="B15" s="36" t="s">
        <v>99</v>
      </c>
      <c r="C15" s="33" t="s">
        <v>100</v>
      </c>
    </row>
    <row r="16" spans="1:3" ht="19.95" customHeight="1" x14ac:dyDescent="0.3">
      <c r="B16" s="35" t="s">
        <v>43</v>
      </c>
      <c r="C16" s="27" t="s">
        <v>101</v>
      </c>
    </row>
    <row r="17" spans="2:3" ht="19.95" customHeight="1" x14ac:dyDescent="0.3">
      <c r="B17" s="36" t="s">
        <v>44</v>
      </c>
      <c r="C17" s="33" t="s">
        <v>102</v>
      </c>
    </row>
    <row r="18" spans="2:3" ht="7.95" customHeight="1" x14ac:dyDescent="0.3"/>
    <row r="19" spans="2:3" ht="22.05" customHeight="1" x14ac:dyDescent="0.3">
      <c r="B19" s="37" t="s">
        <v>103</v>
      </c>
      <c r="C19" s="38" t="s">
        <v>104</v>
      </c>
    </row>
    <row r="20" spans="2:3" ht="22.05" customHeight="1" x14ac:dyDescent="0.3">
      <c r="B20" s="37" t="s">
        <v>103</v>
      </c>
      <c r="C20" s="38" t="s">
        <v>105</v>
      </c>
    </row>
    <row r="21" spans="2:3" ht="22.05" customHeight="1" x14ac:dyDescent="0.3">
      <c r="B21" s="37" t="s">
        <v>103</v>
      </c>
      <c r="C21" s="38" t="s">
        <v>106</v>
      </c>
    </row>
    <row r="22" spans="2:3" ht="22.05" customHeight="1" x14ac:dyDescent="0.3">
      <c r="B22" s="37" t="s">
        <v>103</v>
      </c>
      <c r="C22" s="38" t="s">
        <v>107</v>
      </c>
    </row>
    <row r="23" spans="2:3" ht="22.05" customHeight="1" x14ac:dyDescent="0.3">
      <c r="B23" s="37" t="s">
        <v>103</v>
      </c>
      <c r="C23" s="38" t="s">
        <v>108</v>
      </c>
    </row>
    <row r="24" spans="2:3" ht="22.05" customHeight="1" x14ac:dyDescent="0.3">
      <c r="B24" s="37" t="s">
        <v>103</v>
      </c>
      <c r="C24" s="38" t="s">
        <v>109</v>
      </c>
    </row>
  </sheetData>
  <mergeCells count="2">
    <mergeCell ref="A1:C1"/>
    <mergeCell ref="A2:C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📊 Dashboard</vt:lpstr>
      <vt:lpstr>01042026</vt:lpstr>
      <vt:lpstr>02042026</vt:lpstr>
      <vt:lpstr>07042026</vt:lpstr>
      <vt:lpstr>08042026</vt:lpstr>
      <vt:lpstr>09042026</vt:lpstr>
      <vt:lpstr>13042026</vt:lpstr>
      <vt:lpstr>10042026</vt:lpstr>
      <vt:lpstr>14042026</vt:lpstr>
      <vt:lpstr>15042026</vt:lpstr>
      <vt:lpstr>16042026</vt:lpstr>
      <vt:lpstr>17042026</vt:lpstr>
      <vt:lpstr>20042026</vt:lpstr>
      <vt:lpstr>21042026</vt:lpstr>
      <vt:lpstr>22042026</vt:lpstr>
      <vt:lpstr>23042026</vt:lpstr>
      <vt:lpstr>24042026</vt:lpstr>
      <vt:lpstr>27042026</vt:lpstr>
      <vt:lpstr>28042026</vt:lpstr>
      <vt:lpstr>29042026</vt:lpstr>
      <vt:lpstr>30042026</vt:lpstr>
      <vt:lpstr>ℹ️ 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ExecAir LAPTOP</cp:lastModifiedBy>
  <dcterms:created xsi:type="dcterms:W3CDTF">2026-04-01T08:48:41Z</dcterms:created>
  <dcterms:modified xsi:type="dcterms:W3CDTF">2026-04-24T07:05:50Z</dcterms:modified>
</cp:coreProperties>
</file>